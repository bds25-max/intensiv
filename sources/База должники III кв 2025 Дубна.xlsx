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3 кв 25" sheetId="1" r:id="rId5"/>
  </sheets>
  <definedNames>
    <definedName hidden="1" localSheetId="0" name="_xlnm._FilterDatabase">'1-3 кв 25'!$B$1:$BH$297</definedName>
  </definedNames>
  <calcPr/>
</workbook>
</file>

<file path=xl/sharedStrings.xml><?xml version="1.0" encoding="utf-8"?>
<sst xmlns="http://schemas.openxmlformats.org/spreadsheetml/2006/main" count="5119" uniqueCount="969">
  <si>
    <t>Уникальны обезличинный идентификатор</t>
  </si>
  <si>
    <t>Код КЦР</t>
  </si>
  <si>
    <t>название СЦ</t>
  </si>
  <si>
    <t>Дата создания КЦР</t>
  </si>
  <si>
    <t>Время от Екб</t>
  </si>
  <si>
    <t>ФИО главного админа</t>
  </si>
  <si>
    <t>Телефон админа</t>
  </si>
  <si>
    <t>Email админа</t>
  </si>
  <si>
    <t>% долга за весь 2025 на 27.03.26</t>
  </si>
  <si>
    <t>коммаентарий для претензии</t>
  </si>
  <si>
    <t>Статус на 26.05.26</t>
  </si>
  <si>
    <t>Статус на 27.03.26</t>
  </si>
  <si>
    <t>Статус на 13.03.26</t>
  </si>
  <si>
    <t>Статус на 02.03.26</t>
  </si>
  <si>
    <t>Статус на 16.01.26</t>
  </si>
  <si>
    <t>Статус на 29.12.25</t>
  </si>
  <si>
    <t>Статус на 5.12.25</t>
  </si>
  <si>
    <t>админ в нескольких кцр</t>
  </si>
  <si>
    <t>Документов всего за 2025 год</t>
  </si>
  <si>
    <t>Долг на 27.03.26</t>
  </si>
  <si>
    <t>% Долга на 27.03.26</t>
  </si>
  <si>
    <t>Уменьшение долга октябрь vs март</t>
  </si>
  <si>
    <t>долг на 16.01.25</t>
  </si>
  <si>
    <t>% Долга на 16.01.26</t>
  </si>
  <si>
    <t>Уменьшение долга ноябрь vs январь</t>
  </si>
  <si>
    <t>% уменьшение долга ноябрь vs январь</t>
  </si>
  <si>
    <t>долг на 05.12.25</t>
  </si>
  <si>
    <t>% Долга на 05.12.25</t>
  </si>
  <si>
    <t>Уменьшение долга ноябрь vs декабрь</t>
  </si>
  <si>
    <t>% уменьшение долга ноябрь vs декабрь</t>
  </si>
  <si>
    <t>долг на 05.11.25</t>
  </si>
  <si>
    <t>% Долга на 05.11.25</t>
  </si>
  <si>
    <t>долг на 31.10.25</t>
  </si>
  <si>
    <t>% Долга на 31.10.25</t>
  </si>
  <si>
    <t>долг на 20.10.25</t>
  </si>
  <si>
    <t>отклонено</t>
  </si>
  <si>
    <t>на исправлении</t>
  </si>
  <si>
    <t>% долга</t>
  </si>
  <si>
    <t>отправлено</t>
  </si>
  <si>
    <t>принято</t>
  </si>
  <si>
    <t>Статус на 20.10.25</t>
  </si>
  <si>
    <t>Статус на 05.11.25</t>
  </si>
  <si>
    <t>Арина 14.10.25</t>
  </si>
  <si>
    <t>Отправляли посылку без описи</t>
  </si>
  <si>
    <t>Ответственный ООВС</t>
  </si>
  <si>
    <t>Комментарии ООВС</t>
  </si>
  <si>
    <t>Статус звонка</t>
  </si>
  <si>
    <t>Дата перезвона</t>
  </si>
  <si>
    <t>Срок отправки от клиента</t>
  </si>
  <si>
    <t>Дата от клиента</t>
  </si>
  <si>
    <t>Звоним в январе?</t>
  </si>
  <si>
    <t>Комментарий к повторному звонку</t>
  </si>
  <si>
    <t>Статус звонка в январе</t>
  </si>
  <si>
    <t>Срок отправки по клиенту</t>
  </si>
  <si>
    <t>Срок от клиента</t>
  </si>
  <si>
    <t>Инфа по документам от клиента</t>
  </si>
  <si>
    <t>№ Инцидента по отсрочке</t>
  </si>
  <si>
    <t>Запрос эксперта</t>
  </si>
  <si>
    <t>EDB89926</t>
  </si>
  <si>
    <t>за 2025 год выслали 3 документа</t>
  </si>
  <si>
    <t>Не отправили посылку</t>
  </si>
  <si>
    <t>Не отправили посылку, Зайдем через менеджера</t>
  </si>
  <si>
    <t>Частично ликвидировали долг</t>
  </si>
  <si>
    <t>Должник,&lt; 25 доков</t>
  </si>
  <si>
    <t>Старичок</t>
  </si>
  <si>
    <t>Не дослушали</t>
  </si>
  <si>
    <t>Нет</t>
  </si>
  <si>
    <t>10.11 обещал прямо сейчас сформировать посылку. на 28.11. не вижу посылок (Крис)</t>
  </si>
  <si>
    <t>Прошел первый звонок</t>
  </si>
  <si>
    <t>Конец ноября</t>
  </si>
  <si>
    <t>"Да, ничего не отправили", Напомнить про 4 кв</t>
  </si>
  <si>
    <t xml:space="preserve">22.01 ндз 02.02 в отпуске, попросил через неделю перезвонить, 09.02 - посылку отправил 02.02., остатки добирает с филиалов, обещал до конца февраля отправить </t>
  </si>
  <si>
    <t>Прошел второй звонок</t>
  </si>
  <si>
    <t>Конец февраля</t>
  </si>
  <si>
    <t>MUC35326</t>
  </si>
  <si>
    <t>Мало отправили, Выставляем претензию</t>
  </si>
  <si>
    <t>Частично ликвидировали долг, Зайдем через менеджера</t>
  </si>
  <si>
    <t>Не дозвонились</t>
  </si>
  <si>
    <t>10.11 нет части оригиналов заявлений на руках, спрашивал где посмотреть долги, что делать, если оригиналов нет. Сказал что очень занят, согласился к концу года предоставить.</t>
  </si>
  <si>
    <t>Конец декабря</t>
  </si>
  <si>
    <t>22.01. - у них проблема с получением оригиналов документов от филиалов обещали до конца квартала дослать , Вера отправит письмо</t>
  </si>
  <si>
    <t>свой срок</t>
  </si>
  <si>
    <t>конец марта 2026</t>
  </si>
  <si>
    <t>QNB94697</t>
  </si>
  <si>
    <t>Ликвидировали долг</t>
  </si>
  <si>
    <t>Частично ликвидировали долг, Отправили посылку</t>
  </si>
  <si>
    <t>Посылка получена</t>
  </si>
  <si>
    <r>
      <rPr>
        <rFont val="Calibri"/>
        <b/>
        <i/>
        <color theme="1"/>
        <sz val="11.0"/>
      </rPr>
      <t xml:space="preserve">11.11. -Админ в базе не отвечает за отправку сертов. Но он сам дал контакт (84112)494490 Общались с Ириной Яковлевной, админом КЦР, она отв-ет за отправку оригиналов, она свяжется с филиалами. Оригиналов на руках нет. Письмо отправлено И.Я. Пинигиной. </t>
    </r>
    <r>
      <rPr>
        <rFont val="Calibri"/>
        <b/>
        <i/>
        <color rgb="FFFF0000"/>
        <sz val="11.0"/>
      </rPr>
      <t>1 документ в отклоненных за 25 год и все.</t>
    </r>
  </si>
  <si>
    <t>Админ не админ, Прошел первый звонок</t>
  </si>
  <si>
    <t>"Нет, все отлично"</t>
  </si>
  <si>
    <t>Не надо звонить</t>
  </si>
  <si>
    <t>Не звонили</t>
  </si>
  <si>
    <t>WXL83427</t>
  </si>
  <si>
    <t>Дослушали до конца</t>
  </si>
  <si>
    <r>
      <rPr>
        <rFont val="Calibri"/>
        <b/>
        <i/>
        <color theme="1"/>
        <sz val="11.0"/>
      </rPr>
      <t xml:space="preserve">10.11 договорились отправить в теч.3 недель, человек собирает оригиналы из филиалов по России. </t>
    </r>
    <r>
      <rPr>
        <rFont val="Calibri"/>
        <b/>
        <i/>
        <color rgb="FFFF0000"/>
        <sz val="11.0"/>
      </rPr>
      <t>отправили всего 7 доков основной долг остался</t>
    </r>
  </si>
  <si>
    <t xml:space="preserve">22.01 - ждет оригиналы заявлений и обещала все до конца января отправить </t>
  </si>
  <si>
    <t>Конец января</t>
  </si>
  <si>
    <t>LWU37532</t>
  </si>
  <si>
    <t>Частично ликвидировали долг, VIP</t>
  </si>
  <si>
    <r>
      <rPr>
        <rFont val="Calibri"/>
        <b/>
        <i/>
        <color theme="1"/>
        <sz val="11.0"/>
      </rPr>
      <t xml:space="preserve">10.11 - абонент занят, перезвон в 15 ндз, 20.11 ндз 21.11 сложная география, постарается отправить на след. неделе. </t>
    </r>
    <r>
      <rPr>
        <rFont val="Calibri"/>
        <b/>
        <i/>
        <color rgb="FFFF0000"/>
        <sz val="11.0"/>
      </rPr>
      <t>После январской посылки больше ничего не было, долг остался</t>
    </r>
  </si>
  <si>
    <t>Середина декабря</t>
  </si>
  <si>
    <t xml:space="preserve">22.01 - завтра все прощелкает и  все отправит до конца месяца </t>
  </si>
  <si>
    <t>LTV06250</t>
  </si>
  <si>
    <t>Отправили посылку, Частично ликвидировали долг</t>
  </si>
  <si>
    <t>Услышали, что последний день отправки</t>
  </si>
  <si>
    <t>10.11 ндз 20.11 отправил послыку 18.11</t>
  </si>
  <si>
    <t>Самостоятельно ликвидировал долг</t>
  </si>
  <si>
    <t>YKY32153</t>
  </si>
  <si>
    <t>Автоответчик</t>
  </si>
  <si>
    <t>10.11 Взял трубку, но неудобно говорить, просил перезвонить мин. через 30 (13.30 нашего вр), хочет все заявления выгрузить через нас, не уверен, что у него есть в наличии все оригиналы. Письмо не выслала, Жду ответа от Веры, чтобы понять как выгрузить для клиента заявления 11.11 Вера отправила письмо</t>
  </si>
  <si>
    <t>"Да, отправили но мало", Напомнить про 4 кв</t>
  </si>
  <si>
    <t>22.01 делают как могут, постараются доотправить остаток</t>
  </si>
  <si>
    <t>Середина февраля</t>
  </si>
  <si>
    <t>DXA18227</t>
  </si>
  <si>
    <t>выставляем претензию</t>
  </si>
  <si>
    <t>Есть претензия, Не отправили посылку</t>
  </si>
  <si>
    <t>10.11 сброс 20.11 отклонила 21.11 ндз. 24.11.25 Вера заменила Лукоянову на Алиева Амина  25.11 распределенная компания, сложно собирать, отправит пока что есть, запросит остальные, про Докси не знала</t>
  </si>
  <si>
    <t>22.01 - ндз, 02.02 - ндз 03.02. ндз</t>
  </si>
  <si>
    <t>Недозвон, Письмо написано</t>
  </si>
  <si>
    <t>JAM19209</t>
  </si>
  <si>
    <t>%долга вырос</t>
  </si>
  <si>
    <r>
      <rPr>
        <rFont val="Calibri"/>
        <b/>
        <i/>
        <color theme="1"/>
        <sz val="11.0"/>
      </rPr>
      <t xml:space="preserve">10.11 скинули 20.11 уже там не работает. Нужна +7 (968) 779-69-55 Кириченко Оксана Валерьевна kirichenkoov@pgk.ru ндз 21.11 думала что все отправила, вместе сидели и разбирались что где в Докси смотреть. </t>
    </r>
    <r>
      <rPr>
        <rFont val="Calibri"/>
        <b/>
        <i/>
        <color rgb="FFFF0000"/>
        <sz val="11.0"/>
      </rPr>
      <t>Долг 24-25 год остался частично</t>
    </r>
  </si>
  <si>
    <t>"Да, ничего не отправили"</t>
  </si>
  <si>
    <t>22.01 ндз 30.01 ндз, 02.02 -ндз</t>
  </si>
  <si>
    <t>NBR05698</t>
  </si>
  <si>
    <r>
      <rPr>
        <rFont val="Calibri"/>
        <b/>
        <i/>
        <color theme="1"/>
        <sz val="11.0"/>
      </rPr>
      <t xml:space="preserve">10.11 - хочет посмотреть у себя есть ли у него все оригиналы, попросл перезвонить  11.11 нашел оригиналы, попросил инструкцию. </t>
    </r>
    <r>
      <rPr>
        <rFont val="Calibri"/>
        <b/>
        <i/>
        <color rgb="FFFF0000"/>
        <sz val="11.0"/>
      </rPr>
      <t>остался 24-25 год шлют без описи</t>
    </r>
  </si>
  <si>
    <t>BSK57825</t>
  </si>
  <si>
    <t>С регом договорились о претензии, надо посмотреть</t>
  </si>
  <si>
    <t>Посылка получена, Отправили посылку</t>
  </si>
  <si>
    <t>Отправили посылку</t>
  </si>
  <si>
    <t>Да</t>
  </si>
  <si>
    <t>10.11 после 15-00 20.11 отвечает за доки 7 (926) 142-48-02 Бакин Геннадий Владимирович gv_bakin@rn-burenie.rosneft.ru, не знают что делать с долгами по заявлениям уволенных сотрудников, ндз 21.11 ндз 24.11 ндз. 24.11.25 Вера написала письмо Тане Зоновой 27.11 письмо отправлено</t>
  </si>
  <si>
    <t>Админ не админ, Недозвон, Письмо написано</t>
  </si>
  <si>
    <t>Срок для клиента</t>
  </si>
  <si>
    <t>"Нет, ждем проверки посылок"</t>
  </si>
  <si>
    <t>HKO63113</t>
  </si>
  <si>
    <t>11.11. Ответил другой чел, после вопроса о сертификатах передал трубку Максиму. Они также ждут доки от филиалов, сложность м,б в том, что кто-то уволился и т.п. Договорились, что он "стребует" с фил-в заявления, к ним придут к концу ноября, они отправят нам. Письмо отправлено на почту Максима Пушкарева</t>
  </si>
  <si>
    <t>OGE36825</t>
  </si>
  <si>
    <r>
      <rPr>
        <rFont val="Calibri"/>
        <b/>
        <i/>
        <color theme="1"/>
        <sz val="11.0"/>
      </rPr>
      <t xml:space="preserve">10.11 ндз 20.11 у них есть москофский филиал, а есть завод. Ирина отвечает за заявления завода, она все отправила, сказала по другому филиалу звонить Димова Кристина Валентиновна +7 (922) 057-53-92 kristina.dimova@loreal.com. Новенькая, хвосты достались в наследство. До конца январьских праздников все сотрудники уходят на удаленку, постарается списать задолженность, оставшиеся как сможет. </t>
    </r>
    <r>
      <rPr>
        <rFont val="Calibri"/>
        <b/>
        <i/>
        <color rgb="FFFF0000"/>
        <sz val="11.0"/>
      </rPr>
      <t>Остались долги по 25 году после проверки посылки</t>
    </r>
  </si>
  <si>
    <t>до конца январьских праздников все на удаленке, восстановить не получится</t>
  </si>
  <si>
    <t>27.01. - ндз 30.01 - 23.01 отправила посылку, остались только доки за 4 квартал, один отклоненный, ндз 02.02-у филиала отклоненный за 3 кв. и Третьякова за 4 кв, остальные 2 за 4 кв в долге принадлежат заводу</t>
  </si>
  <si>
    <t xml:space="preserve"> </t>
  </si>
  <si>
    <t>MCV39074</t>
  </si>
  <si>
    <r>
      <rPr>
        <rFont val="Calibri"/>
        <b/>
        <i/>
        <color theme="1"/>
        <sz val="11.0"/>
      </rPr>
      <t>10.11 ндз, 17.11 ндз, на 18.11 долгов нет.</t>
    </r>
    <r>
      <rPr>
        <rFont val="Calibri"/>
        <b/>
        <i/>
        <color rgb="FFFF0000"/>
        <sz val="11.0"/>
      </rPr>
      <t xml:space="preserve"> Долг есть но за 24 год, может узнать что с этими доками?</t>
    </r>
  </si>
  <si>
    <t>KNM08564</t>
  </si>
  <si>
    <r>
      <rPr>
        <rFont val="Calibri"/>
        <b/>
        <i/>
        <color theme="1"/>
        <sz val="11.0"/>
      </rPr>
      <t xml:space="preserve">она в декрете находится, искать другого админа, Сменила с Яшиной на Киселева. 20.11 киселев ндз, 21.11 ндз, 24.11 ндз. 24.11.25 Вера: пишем письмо 25.11 написали письмо. </t>
    </r>
    <r>
      <rPr>
        <rFont val="Calibri"/>
        <b/>
        <i/>
        <color rgb="FFFF0000"/>
        <sz val="11.0"/>
      </rPr>
      <t>4 дока за 25 годв долге, шлют без описи</t>
    </r>
  </si>
  <si>
    <t>CFS88304</t>
  </si>
  <si>
    <t>10.11 в КЦР есть несколько центров снабжения, которые собирают заявления внутри определенной группы. У конкретно Барановой нет долгов за 2025, есть за 2024 и 2023: Макарова Татьяна, Березная Евгения и Жигунова Оксана. Макарова в декрете, она не понимает что с ней делать. Менеджер от Контура должна быть в курсе как устроен весь процесс в компании - Морозова Л. Письмо отправлять не стала. 28.11.25 Вера написала письмо менеджеру</t>
  </si>
  <si>
    <t>"Нет, ждем посылки"</t>
  </si>
  <si>
    <t>Консультация</t>
  </si>
  <si>
    <t>RLR42593</t>
  </si>
  <si>
    <t>Не отправили посылку, Выставляем претензию</t>
  </si>
  <si>
    <t>10.11 ндз, 21.11 ндз 24.11 сотрудник уволился, телефон Виктории, попросила все инструкции, письмо на почту office@absol.ru</t>
  </si>
  <si>
    <t xml:space="preserve">23.01 - потеряла наше письмо от ноября, поэтому ничего не прислала, я ей в момент звонка прислала письмо, она его получила, ознакомилась и сказала все пришлет на следующей неделе </t>
  </si>
  <si>
    <t>ZXE69953</t>
  </si>
  <si>
    <r>
      <rPr>
        <rFont val="Calibri"/>
        <b/>
        <i/>
        <color theme="1"/>
        <sz val="11.0"/>
      </rPr>
      <t>10.11 согласилась, что у них есть неотправленные заявления, не успела договориться о сроке, положила трубку 11.11 дали номер 8124481767 (доб 300) Ольга, она отвечает за документы, ндз 21.11 она отправила одну посылку 1.11</t>
    </r>
    <r>
      <rPr>
        <rFont val="Calibri"/>
        <b/>
        <i/>
        <color theme="1"/>
        <sz val="10.0"/>
      </rPr>
      <t xml:space="preserve">, </t>
    </r>
    <r>
      <rPr>
        <rFont val="Calibri"/>
        <b/>
        <i/>
        <color theme="1"/>
        <sz val="11.0"/>
      </rPr>
      <t xml:space="preserve">про оставшиеся знает, собирает. </t>
    </r>
    <r>
      <rPr>
        <rFont val="Calibri"/>
        <b/>
        <i/>
        <color rgb="FFFF0000"/>
        <sz val="11.0"/>
      </rPr>
      <t>долг так и остался</t>
    </r>
  </si>
  <si>
    <t>PGY74397</t>
  </si>
  <si>
    <r>
      <rPr>
        <rFont val="Calibri"/>
        <b/>
        <i/>
        <color theme="1"/>
        <sz val="11.0"/>
      </rPr>
      <t xml:space="preserve">11.11 Начал работать недавно, попросил все инструкции, оригиналов на руках нет. Телефон принадлежит не Крикуненко М, но он админ. Буланов А.А. больше там не работает. Письмо отправила на it@aptekikuzbassa.ru Имя спросить забыла. </t>
    </r>
    <r>
      <rPr>
        <rFont val="Calibri"/>
        <b/>
        <i/>
        <color rgb="FFFF0000"/>
        <sz val="11.0"/>
      </rPr>
      <t>Долг за 25 ликвмидировали, долги висят за 24 и ранее</t>
    </r>
  </si>
  <si>
    <t>YIX47443</t>
  </si>
  <si>
    <t>10.11 почти все отправила. Осталось 5, оригиналов на руках нет, попросила инструкцию как скачать. Еще у нее куча исправленных и отклоненных. Забыла сказать во время звонка. Написала в письме.</t>
  </si>
  <si>
    <t>TEE00068</t>
  </si>
  <si>
    <t>Частично ликвидировали долг, Посылка получена</t>
  </si>
  <si>
    <t>Отправили посылку, Посылка получена</t>
  </si>
  <si>
    <t>11.11 ндз 17.11 ндз, 18.11 сказал занят , позвонить после 16-00 екб ндз 19.11 ндз. 24.11.25 Вера заменила Шамсудинов Павел Амирович на Александр Лагутин 25.11 ндз 27.11 Алесандр вообще не имеет отношение, добавили чтобы он там пару вещей сделал, Сазыкин Андрей в админке относится к Вико-Красноярск, а не Иркутск, нужен Угорский Владислав +7 (950) 072-80-99 ugorscky@yandex.ru, он сказал, что сложностей нет, в Докси работает, отправляет потихоньку</t>
  </si>
  <si>
    <t>22.01 ндз. 28.01.26 - ндз. 02.02 - активно шлет посылки, собирает остатки, постарается к середине февраля выслать</t>
  </si>
  <si>
    <t>XBJ44704</t>
  </si>
  <si>
    <r>
      <rPr>
        <rFont val="Calibri"/>
        <b/>
        <i/>
        <color theme="1"/>
        <sz val="11.0"/>
      </rPr>
      <t xml:space="preserve">11.11 ндз 21.11 в офисе бывает редко, поэтому задолжали, сделает на селд. неделе. </t>
    </r>
    <r>
      <rPr>
        <rFont val="Calibri"/>
        <b/>
        <i/>
        <color rgb="FFFF0000"/>
        <sz val="11.0"/>
      </rPr>
      <t>Долги остались, начали высылать уже 26 год, но без расписок.</t>
    </r>
  </si>
  <si>
    <t>23.01 - ндз 30.01 ндз, 02.02 ндз</t>
  </si>
  <si>
    <t>Письмо написано, Недозвон</t>
  </si>
  <si>
    <t>HGL05683</t>
  </si>
  <si>
    <r>
      <rPr>
        <rFont val="Calibri"/>
        <b/>
        <i/>
        <color theme="1"/>
        <sz val="11.0"/>
      </rPr>
      <t>12.11 сказала что посылку почтой россии отправила в конце октября. Забыла статус поменять в докси, сказала поменяет. Инструкцию ей направила.</t>
    </r>
    <r>
      <rPr>
        <rFont val="Calibri"/>
        <b/>
        <i/>
        <color rgb="FFFF0000"/>
        <sz val="11.0"/>
      </rPr>
      <t xml:space="preserve"> Остались долги за 25 год в отклоненных и исправленных.</t>
    </r>
  </si>
  <si>
    <t>VUG32060</t>
  </si>
  <si>
    <t xml:space="preserve">11.11 -ндз , 21. 11 ндз, 24.11-ндз 24.11.25 Вера: Орлов Александр Сергеевич заменить на Власов Павел 25.11 ндз, 26.11 - ндз 27.11 ндз - написали письмо </t>
  </si>
  <si>
    <t>"Нет, передала в ООД"</t>
  </si>
  <si>
    <t>ONR50405</t>
  </si>
  <si>
    <t>за 1-3 кв не ликвидировали долг</t>
  </si>
  <si>
    <t>Не отправили посылку, VIP, Зайдем через менеджера</t>
  </si>
  <si>
    <r>
      <rPr>
        <rFont val="Calibri"/>
        <b/>
        <i/>
        <color theme="1"/>
        <sz val="11.0"/>
      </rPr>
      <t xml:space="preserve">11.11 говорит в долгах числится много уволенных сотрудников, отправлял список на списание через техподдержку, обещал посмотреть, коммуникация через почту. </t>
    </r>
    <r>
      <rPr>
        <rFont val="Calibri"/>
        <b/>
        <i/>
        <color rgb="FFFF0000"/>
        <sz val="11.0"/>
      </rPr>
      <t>Остались долги за 25 и более ранние</t>
    </r>
  </si>
  <si>
    <t>23.01. - ндз 30.01 - 23.01.2026 отправил посылку, получена, по оставшимся будет разбираться</t>
  </si>
  <si>
    <t>CYQ90457</t>
  </si>
  <si>
    <r>
      <rPr>
        <rFont val="Calibri"/>
        <b/>
        <i/>
        <color theme="1"/>
        <sz val="11.0"/>
      </rPr>
      <t xml:space="preserve">11.11 - обещал передать доки  в ближайшие недели . </t>
    </r>
    <r>
      <rPr>
        <rFont val="Calibri"/>
        <b/>
        <i/>
        <color rgb="FFFF0000"/>
        <sz val="11.0"/>
      </rPr>
      <t>остались долги за 25 и более ранние</t>
    </r>
  </si>
  <si>
    <t>"Да, отправили но мало", Напомнить про 1 кв, "Да,звоним в апреле"</t>
  </si>
  <si>
    <t xml:space="preserve">13.04 - ндз, 17.04 - все готовит, все знает, отправит все на следующей неделе , срок указала до конца апреля </t>
  </si>
  <si>
    <t>XIW16490</t>
  </si>
  <si>
    <t>11.11. - ндз, 21.11 ндз 24.11 ндз. 24.11.25 Васаженко Вячеслав Андреевич заменила на Кондрашкин Андрей Андреевич 25.11 Админ, но бумаги собирает Тертычная Марина, сейчас уходит в отпуск, передаст, постараются собрать, предупредил, что у низ все вовремя не получается и в будущем тоже будут задержки. Другим админам из нашей админки КЦР сказал, что точно звонить не стоит</t>
  </si>
  <si>
    <t>23.01. -ндз 30.01 на встрече, звонить не раньше среды, 04.02 отказался общаться, сказал писать ему письма и если захочет ответит, снова на встрече он. письмо написано</t>
  </si>
  <si>
    <t>"Отказ разговаривать, направили письмо"</t>
  </si>
  <si>
    <t>DVM04522</t>
  </si>
  <si>
    <t xml:space="preserve">11.11-ндз, 21.11 ндз 24.11 сброс 24.11.25 Орлов Александр Иванович заменила на Каюков Евгений Олегович 25.11 ндз, 26.11 - дозвонилась договорились на середину декабря </t>
  </si>
  <si>
    <t xml:space="preserve">23.01. - уволился отвественный менеджер сейчас они на следующей неделе все соберут и отправят, обещали до конца января все  отправить </t>
  </si>
  <si>
    <t>EWZ67405</t>
  </si>
  <si>
    <r>
      <rPr>
        <rFont val="Calibri"/>
        <b/>
        <i/>
        <color theme="1"/>
        <sz val="11.0"/>
      </rPr>
      <t>11.11 - в отпуске до 17.11. 17.11 о Докси знает, отправит.</t>
    </r>
    <r>
      <rPr>
        <rFont val="Calibri"/>
        <b/>
        <i/>
        <color rgb="FFFF0000"/>
        <sz val="11.0"/>
      </rPr>
      <t xml:space="preserve"> Долг за 25 год шлют без описи</t>
    </r>
  </si>
  <si>
    <t>KFI72886</t>
  </si>
  <si>
    <r>
      <rPr>
        <rFont val="Calibri"/>
        <b/>
        <i/>
        <color theme="1"/>
        <sz val="11.0"/>
      </rPr>
      <t xml:space="preserve">11.11. - было очень шумно, возможно стоит перезвонить завтра  13.11 ндз 21.11 ндз. 24.11.25  Ледовский Николай Андреевич заменен на Khristov Akim 25.11 ндз 26.11 думал что все отправили, вместе зашли в Докси, обещал на след. неделе заняться. </t>
    </r>
    <r>
      <rPr>
        <rFont val="Calibri"/>
        <b/>
        <i/>
        <color rgb="FFFF0000"/>
        <sz val="11.0"/>
      </rPr>
      <t xml:space="preserve">Остались 25 год и 26 в отклоненных </t>
    </r>
  </si>
  <si>
    <t>23.01 - сбросил вызов 30.01 ндз, 02.02 скинул звонок</t>
  </si>
  <si>
    <t>QEI25690</t>
  </si>
  <si>
    <r>
      <rPr>
        <rFont val="Calibri"/>
        <b/>
        <i/>
        <color theme="1"/>
        <sz val="11.0"/>
      </rPr>
      <t>11.11. Сказала посылку отправила почтой россии в октябре и ждет по ней ответа. Разговаривать не хочет. попросила на почту ссылку на докси, видимо руками только все собирают. Сказала отправила все и после ответа на посылку октября стоит спрашивать ее о чем либо 12.11 посылка дошла, долг остался 13.11 сказала, что может в принятых посмотреть свои документы, которые дошли, обещала все в Докси почмотреть, проанализировать, сделать рассылку.</t>
    </r>
    <r>
      <rPr>
        <rFont val="Calibri"/>
        <b/>
        <i/>
        <color rgb="FFFF0000"/>
        <sz val="11.0"/>
      </rPr>
      <t xml:space="preserve"> Выслали частично, без описи, 25 год есть в долгах</t>
    </r>
  </si>
  <si>
    <t>02.02.26 - ндз 03.02 ндз, 04.02 ндз</t>
  </si>
  <si>
    <t>HIL42790</t>
  </si>
  <si>
    <r>
      <rPr>
        <rFont val="Calibri"/>
        <b/>
        <i/>
        <color theme="1"/>
        <sz val="11.0"/>
      </rPr>
      <t>11.11 попросила отсрочку через техподдержку, обещала все выслать к концу ноября.</t>
    </r>
    <r>
      <rPr>
        <rFont val="Calibri"/>
        <b/>
        <i/>
        <color rgb="FFFF0000"/>
        <sz val="11.0"/>
      </rPr>
      <t xml:space="preserve"> 7 доков за 25 год в долгах</t>
    </r>
  </si>
  <si>
    <t>22.01 осталось 1 заявление, все отправит, Вера отправит письмо</t>
  </si>
  <si>
    <t>QVE18358</t>
  </si>
  <si>
    <t>Частично ликвидировали долг, сломался</t>
  </si>
  <si>
    <r>
      <rPr>
        <rFont val="Calibri"/>
        <b/>
        <i/>
        <color theme="1"/>
        <sz val="11.0"/>
      </rPr>
      <t xml:space="preserve">11.11 - сейчас в отпуске, обещал отправить до конца  года , клиент потвердил почту, но письмо не дошло, проверили валидность эл.почты-невалидный , перезвонить после отпуска и уточнить дошло письмо или нет если нет то спросить можно ли отправить на a.martynov@skvk.ru (нашли в админке) 
</t>
    </r>
    <r>
      <rPr>
        <rFont val="Calibri"/>
        <b/>
        <i/>
        <color rgb="FFFF0000"/>
        <sz val="11.0"/>
      </rPr>
      <t xml:space="preserve">скопили долг за 4 кв 25 </t>
    </r>
  </si>
  <si>
    <t>YAH22376</t>
  </si>
  <si>
    <t>ключевой</t>
  </si>
  <si>
    <t>Не отправили посылку, VIP</t>
  </si>
  <si>
    <t xml:space="preserve">11.11 - Ирина Сергеевна в декрете (нервно), попросила позвонить Никите Борисову (+7 (925) 388-61-68) он обещал передать до конца ноября </t>
  </si>
  <si>
    <t>23.01. - автоответчик  30.01 ничего не отправляла, уходит в отпуск на 2 недели, постарается отправить в конце февраля, есть уволенные сотрудники, нет части оригиналов, письмо на почту nborisov@nestro.ru</t>
  </si>
  <si>
    <t>OFM72454</t>
  </si>
  <si>
    <t>на 11.11 долга нет</t>
  </si>
  <si>
    <t>HKE64329</t>
  </si>
  <si>
    <t>12.11 клиент понимает, что у них плохо выстроен процесс, сотрудники на удаленке, есть уволенные, он пытается от них добиться, как может, не может даже ориентировочно назвать сроки. Сделает инц на списание по уволенным. Все, что сейчас есть, отправит. С 1.01 обещал, что постараются исправяться, напишут статью, не будут выдавать серт без оригиналов.</t>
  </si>
  <si>
    <t>не может сказать когда, старается как может, куча удаленщиков</t>
  </si>
  <si>
    <t>XOE11919</t>
  </si>
  <si>
    <r>
      <rPr>
        <rFont val="Calibri"/>
        <b/>
        <i/>
        <color theme="1"/>
        <sz val="11.0"/>
      </rPr>
      <t xml:space="preserve">11.11 собирают доки, сложностей нет, пообещали в конце недели передать. </t>
    </r>
    <r>
      <rPr>
        <rFont val="Calibri"/>
        <b/>
        <i/>
        <color rgb="FFFF0000"/>
        <sz val="11.0"/>
      </rPr>
      <t>долги за август 25 и 4 кв 25</t>
    </r>
  </si>
  <si>
    <t>NCW38625</t>
  </si>
  <si>
    <r>
      <rPr>
        <rFont val="Calibri"/>
        <b/>
        <i/>
        <color theme="1"/>
        <sz val="11.0"/>
      </rPr>
      <t xml:space="preserve">12.11 подзабыли, нужно связаться с филиалами чтобы сориентироваться по срокам, попросил перезвонить 18.11 ндз 21.11 ндз 24.11 ндз. 24.11.25 заменили Просвиров Артём Владимирович на Логинов Антон Александрович 28.11 - пршло письмо от клиента, Вопрос по задолженности передан коллегам - статус "в работе". </t>
    </r>
    <r>
      <rPr>
        <rFont val="Calibri"/>
        <b/>
        <i/>
        <color rgb="FFFF0000"/>
        <sz val="11.0"/>
      </rPr>
      <t>Копят долги дальше</t>
    </r>
  </si>
  <si>
    <t xml:space="preserve">23.01. - за свой филиал уже отправил , посылка в отправленных от 23.01.2026, за оставшихся филиалов в понедельник посмотрит </t>
  </si>
  <si>
    <t>PUS58330</t>
  </si>
  <si>
    <t>12.11 часть уже отправил, собирает остаток</t>
  </si>
  <si>
    <t>NDF40427</t>
  </si>
  <si>
    <t>Есть претензия</t>
  </si>
  <si>
    <t xml:space="preserve">11.11 - КЦР заблокирован, он уже больше не работает там. Заменила с Исаева на Амирова 20.11 Выпуском  занимался, но говорит что вопрос не к нему, а к начальнику, предложил позвонить в отдел завтра по т. (84152)21530056, но нужно звонить в 7 екб, иначе она уходит. Договорились, что он перешлет письмо., 28.11 выслали письмо о двух неделях, в нем еще прикрепили инструкции по поводу заблокированного КЦР </t>
  </si>
  <si>
    <t>Админ не админ, Прошел первый звонок, Письмо написано</t>
  </si>
  <si>
    <t>NXQ96406</t>
  </si>
  <si>
    <r>
      <rPr>
        <rFont val="Calibri"/>
        <b/>
        <i/>
        <color theme="1"/>
        <sz val="11.0"/>
      </rPr>
      <t xml:space="preserve">11.11 ндз, 17.11 сказал что выходит на этой неделе секретарь, они все соберут и отправят на неделе все. про опись в докси напомнила ему.  </t>
    </r>
    <r>
      <rPr>
        <rFont val="Calibri"/>
        <b/>
        <i/>
        <color rgb="FFFF0000"/>
        <sz val="11.0"/>
      </rPr>
      <t>Шлют также без описи, частично закрыли</t>
    </r>
  </si>
  <si>
    <t>GQM08090</t>
  </si>
  <si>
    <r>
      <rPr>
        <rFont val="Calibri"/>
        <b/>
        <i/>
        <color theme="1"/>
        <sz val="11.0"/>
      </rPr>
      <t xml:space="preserve">13.11 толк умер и второй раз он трубку не взял 17.11 ндз 19.11 уже там не работает. Заеменила Петрова на Павлова 20.11 Трубку взял Михайлов Герман Георгиевич (имя могла услышать неправильно), про Докси не знал, рассказала. </t>
    </r>
    <r>
      <rPr>
        <rFont val="Calibri"/>
        <b/>
        <i/>
        <color rgb="FFFF0000"/>
        <sz val="11.0"/>
      </rPr>
      <t>Посылку в докси не отправили электронно. Частично закрыли</t>
    </r>
  </si>
  <si>
    <t>FLU33851</t>
  </si>
  <si>
    <r>
      <rPr>
        <rFont val="Calibri"/>
        <b/>
        <i/>
        <color theme="1"/>
        <sz val="11.0"/>
      </rPr>
      <t xml:space="preserve">11.11 скинули, 17.11 ндз, 18.11 ндз 25.11 написала письмо. 19.01: только админ админ Юлтимирова Фания Камилевна
</t>
    </r>
    <r>
      <rPr>
        <rFont val="Calibri"/>
        <b/>
        <i/>
        <color rgb="FFFF0000"/>
        <sz val="11.0"/>
      </rPr>
      <t>Висит в отклоненных 25 год</t>
    </r>
  </si>
  <si>
    <t>Недозвон, Письмо написано, Отреагировали на письмо</t>
  </si>
  <si>
    <t>"Да, отправили но мало", Напомнить про 4 кв, "Да,звоним в апреле", Напомнить про 1 кв, Звоним один раз</t>
  </si>
  <si>
    <t xml:space="preserve">БОльшую часть документов предоставили в виде ч/б копий, нужно донести информацию что нужны оригиналы. 22,01 скинула звонок. 02.02.26 - отклонила звонок. 03.02 ндз 13.04 - позвонила сказала что все в отклоненных висят обещала отправить до конца недели </t>
  </si>
  <si>
    <t>Недозвон, Вера свяжется сама, Прошел второй звонок</t>
  </si>
  <si>
    <t>БОльшую часть документов предоставили в виде ч/б копий, нужно донести информацию что нужны оригиналы</t>
  </si>
  <si>
    <t>VIP</t>
  </si>
  <si>
    <r>
      <rPr>
        <rFont val="Calibri"/>
        <b/>
        <i/>
        <color theme="1"/>
        <sz val="11.0"/>
      </rPr>
      <t xml:space="preserve">11.11 ндз 17.11 ндз, 18.11 сказал что есть у него инфа что нужно передавать заявления, и сказал не могу больше с вами говорить и скинул. 24.11.25 сменили Макарцев Сергей Васильевич на Пелых Игорь Борисович 25.11 вместе зашли в Докси, посмотреили где долг, гле отклоненные, ответственный сейчас в отпуске, выйдет через пару недель, он передаст инфу. </t>
    </r>
    <r>
      <rPr>
        <rFont val="Calibri"/>
        <b/>
        <i/>
        <color rgb="FFFF0000"/>
        <sz val="11.0"/>
      </rPr>
      <t>Шлет без описи, закрыл мало долга, но начал высылать уже 26 год</t>
    </r>
  </si>
  <si>
    <t>22.01 нужен Макарцев Сергей Васильевич +7 (914) 200-06-94 makartsevsv@highlandgold.com Отправляет все на неправильный  адрес - Ульяновская 13а, а/я 760. Назвал  трек номер 80083706806189. Докси непонятен, только долги там смотрит. Хочет с нами только через менеджера общаться Грекова Светлана. Негатив, что мы ему постоянно звоним, что даем разную информацию. Вера написала письмо на СЦ 0281 — ООО "Медиа-М"</t>
  </si>
  <si>
    <t>Прошел второй звонок, Вера свяжется сама</t>
  </si>
  <si>
    <t>STB80911</t>
  </si>
  <si>
    <t>12.11 пообещал отправить до конца ноября, часть сотрудников уволена, рассказала что надо запрос через ТП сделать на списание таких долгов по заявлениям. 28.11 пришло письмо, оправят 2-3 декабря через СДЭК</t>
  </si>
  <si>
    <t>23.01 ндз, 27.01 ндз. 28.01.26 - Собирает по крупицам, высылает регулярно. На следующей неделе  обещал выслать, что есть на данный момент. Еще сообщил, что есть заявления, но люди уже уволились. А так же был вопрос про долги за прошлые года и заявлений нет в наличии, либо люди уже ушли. Я пока сказла собирать за 2025 год. Письмо с инструкцие, что делать, когда сотрудники уволились выслала на почту.</t>
  </si>
  <si>
    <t>NFM53584</t>
  </si>
  <si>
    <r>
      <rPr>
        <rFont val="Calibri"/>
        <b/>
        <i/>
        <color theme="1"/>
        <sz val="11.0"/>
      </rPr>
      <t>12.11 ндз 19.11 ндз, 20.11 сказал знает но не отправляет потому что не все документы пока получилось собрать, пообещал сегодня же начать сбор и отправит до середины декабря.</t>
    </r>
    <r>
      <rPr>
        <rFont val="Calibri"/>
        <b/>
        <i/>
        <color rgb="FFFF0000"/>
        <sz val="11.0"/>
      </rPr>
      <t xml:space="preserve"> в докси неотправленная посылка с 25 годом</t>
    </r>
  </si>
  <si>
    <t>"Да, отправили но мало", Напомнить про 1 кв, Напомнить про 4 кв, "Да,звоним в апреле"</t>
  </si>
  <si>
    <t>13.04. - отклонил звонок , 17.04 - отклонил звонок , 21.04 - ндз , письмо не ушло, написали Воронцову Антону на voronczov.a@energy-yug.ru</t>
  </si>
  <si>
    <t>MBK64209</t>
  </si>
  <si>
    <t>Мало отправили, VIP</t>
  </si>
  <si>
    <t>он не работает там более года. кто работает не знает. 11.11 Вера заменила админа 12.11 только взял эту задачу. Ничего не знает, хочет инструкции, чтобы сориентироваться со сроками, хочет на рабочую почту savenkovei@sinara-group.com 18.11 ндз 19.11 ндз 20.11 ндз 25.11 написала письмо</t>
  </si>
  <si>
    <t>"Нет, Вера сама"</t>
  </si>
  <si>
    <t>HWQ84785</t>
  </si>
  <si>
    <t>12.11. - ндз,  сбросил после приветствия 21.11 ничего не собирает, не знал что должен собирать, положил трубку. По админке его серт истек 2024. 24.11.25 Вера заменила Николавева на Бусыгина 25.11 ндз 26.11 ндз 27.11 ндз отправила письмо.  16.01 один админ, только Бусыгин, пробуем звонить ему</t>
  </si>
  <si>
    <t>Недозвон, Письмо написано, Реакции на письмо не было</t>
  </si>
  <si>
    <t>"Да, ничего не отправили", Напомнить про 4 кв, Звоним один раз</t>
  </si>
  <si>
    <t>22.01 скинул. 23,01 написала письмо повторное</t>
  </si>
  <si>
    <t>CRV37623</t>
  </si>
  <si>
    <t>12.11 - ндз 21.11 передадут</t>
  </si>
  <si>
    <t>DPX13664</t>
  </si>
  <si>
    <r>
      <rPr>
        <rFont val="Calibri"/>
        <b/>
        <i/>
        <color theme="1"/>
        <sz val="11.0"/>
      </rPr>
      <t xml:space="preserve">13.11. очень шумно попросил перезвонить 15.40 по екб , 14.11 сказал перезвонить около 17-00, упаковки у него на руках, отправит в понедельник, остаток к концу ноября. </t>
    </r>
    <r>
      <rPr>
        <rFont val="Calibri"/>
        <b/>
        <i/>
        <color rgb="FFFF0000"/>
        <sz val="11.0"/>
      </rPr>
      <t>долг 25 год 55 заявлений</t>
    </r>
  </si>
  <si>
    <t>"Да, отправили но мало", "Да,звоним в апреле"</t>
  </si>
  <si>
    <t xml:space="preserve">03.03.2026 - ндз, 13.04 - ждет долго заявления от филиалов, формирует упаковки, там много заявлений долги и не долги, ориентировачно срок отправки затруднился сказать, но до конца апреля обещал </t>
  </si>
  <si>
    <t>Не надо звонить, Прошел второй звонок</t>
  </si>
  <si>
    <t>SSL58676</t>
  </si>
  <si>
    <t>сломался</t>
  </si>
  <si>
    <r>
      <rPr>
        <rFont val="Calibri"/>
        <b/>
        <i/>
        <color theme="1"/>
        <sz val="11.0"/>
      </rPr>
      <t xml:space="preserve">12.11 - активно требует от сотрудников из филиалов заявления, но они немного тупят и не отправляют вовремя. </t>
    </r>
    <r>
      <rPr>
        <rFont val="Calibri"/>
        <b/>
        <i/>
        <color rgb="FFFF0000"/>
        <sz val="11.0"/>
      </rPr>
      <t>Долги за 4 кв 25</t>
    </r>
  </si>
  <si>
    <t>PNV75779</t>
  </si>
  <si>
    <t>CFP41000</t>
  </si>
  <si>
    <t xml:space="preserve">12.11.-перзвонить в 16.30 , до конца недели все обещал отправить </t>
  </si>
  <si>
    <t>HEF83294</t>
  </si>
  <si>
    <t>Не отправили посылку, Есть претензия</t>
  </si>
  <si>
    <t>11.11 ндз 17.11 ндз, 18.11 ндз. 25.11 отправила письмо, пришел автоматический ответ, что в отпуске до 26.11; 06.02 кроме Замятина другого админа нет</t>
  </si>
  <si>
    <t xml:space="preserve">09.02. - ндз </t>
  </si>
  <si>
    <t>GZA83017</t>
  </si>
  <si>
    <r>
      <rPr>
        <rFont val="Calibri"/>
        <b/>
        <i/>
        <color theme="1"/>
        <sz val="11.0"/>
      </rPr>
      <t xml:space="preserve">13.11 сказал отправит все скоро, соберет ближайшую неделю, отправила инструкцию. </t>
    </r>
    <r>
      <rPr>
        <rFont val="Calibri"/>
        <b/>
        <i/>
        <color rgb="FFFF0000"/>
        <sz val="11.0"/>
      </rPr>
      <t>Долг за 3 кв и 4 кв 25</t>
    </r>
  </si>
  <si>
    <t>DNF23805</t>
  </si>
  <si>
    <t>в отклоненных 25 год</t>
  </si>
  <si>
    <t>COJ94540</t>
  </si>
  <si>
    <r>
      <rPr>
        <rFont val="Calibri"/>
        <b/>
        <i/>
        <color theme="1"/>
        <sz val="11.0"/>
      </rPr>
      <t xml:space="preserve">11.11 занимается не сам, скажет ответственному сотруднику, думал что все отправляют. </t>
    </r>
    <r>
      <rPr>
        <rFont val="Calibri"/>
        <b/>
        <i/>
        <color rgb="FFFF0000"/>
        <sz val="11.0"/>
      </rPr>
      <t>Шлет без описи</t>
    </r>
  </si>
  <si>
    <t>Приняли только ЕГАИСы, по факту документы не отправили. 22.01 Сказал он общался с экспертом КЦР, но не нашла в копиях ничего, только 1-е письмо. Сказал у них занимается какой-то Богдан и он был в копии, направила ему письмо (если забыли данные) говорит что "все же обсудили и отправили" Кристина общается с Богданом по почте</t>
  </si>
  <si>
    <t>Приняли только ЕГАИСы, по факту документы не отправили. 22.01 Сказал он общался с экспертом КЦР, но не нашла в копиях ничего, только 1-е письмо. Сказал у них занимается какой-то Богдан и он был в копии, направила ему письмо (если забыли данные) говорит что "все же обсудили и отправили"</t>
  </si>
  <si>
    <t>MTT91109</t>
  </si>
  <si>
    <t>13.11 не админ, и не имеет отношения к ним. просто сотрудник. и не константин. Арбидис Констанатина заменила на Антипову. Она сказала что отправляют все, про докси знает, сказала все направит, с коллегами разберутся</t>
  </si>
  <si>
    <t>27,01 Сказала она не занимается сейчас этим вопросом и звонить Валерии Мироненко. +7 921 765-14-92 ее номер. Валерия сказала ждет оригиналы с регионов и отправит через 2 недели. инструкцию на почту ей направила. Почта Valeriya.Mironenko@hyper.evis-pro.ru</t>
  </si>
  <si>
    <t>ZTY05276</t>
  </si>
  <si>
    <r>
      <rPr>
        <rFont val="Calibri"/>
        <b/>
        <i/>
        <color theme="1"/>
        <sz val="11.0"/>
      </rPr>
      <t xml:space="preserve">13.11 скоро все отправит, только вышел из отпуска. </t>
    </r>
    <r>
      <rPr>
        <rFont val="Calibri"/>
        <b/>
        <i/>
        <color rgb="FFFF0000"/>
        <sz val="11.0"/>
      </rPr>
      <t>Долг 4 кв 25</t>
    </r>
  </si>
  <si>
    <t>PGI38751</t>
  </si>
  <si>
    <r>
      <rPr>
        <rFont val="Calibri"/>
        <b/>
        <i/>
        <color theme="1"/>
        <sz val="11.0"/>
      </rPr>
      <t>13.11. ндз, 21.11 сказал как только соберут отправят (в декабре)</t>
    </r>
    <r>
      <rPr>
        <rFont val="Calibri"/>
        <b/>
        <i/>
        <color rgb="FFFF0000"/>
        <sz val="11.0"/>
      </rPr>
      <t xml:space="preserve"> большая часть долга осталась</t>
    </r>
  </si>
  <si>
    <t xml:space="preserve">03.03.26 сказал, что ему уже звонили по этому поводу в феврале. говорит вкурсе собирают, до конца марта обещлся выслать. Я нашла письмо им от16.02.26 г. , 13.04 - судя по докси отправил посылку (225 документов) 03.04.2026 </t>
  </si>
  <si>
    <t>Не надо звонить, Прошел второй звонок, Отправили посылку</t>
  </si>
  <si>
    <t>JAC85685</t>
  </si>
  <si>
    <t>13.11 через нас не выпускают больше, инструкцию отправила ему, сказал разберутся и свяжутся через ответ на письмо yola.gorbol@yandex.ru</t>
  </si>
  <si>
    <t>Прошел первый звонок, Самостоятельно ликвидировал долг</t>
  </si>
  <si>
    <t>IKQ92396</t>
  </si>
  <si>
    <t>Разобраться с посылкой, Не отправили посылку</t>
  </si>
  <si>
    <r>
      <rPr>
        <rFont val="Calibri"/>
        <b/>
        <i/>
        <color theme="1"/>
        <sz val="11.0"/>
      </rPr>
      <t xml:space="preserve">13.11. перезвон в 16 по екб , 13.11.-ндз. 21.11 Сказал отправил вчера, сотрудник забыл сделать опись, он крайне негативный сказал никаких инструкций ему не надо. </t>
    </r>
    <r>
      <rPr>
        <rFont val="Calibri"/>
        <b/>
        <i/>
        <color rgb="FFFF0000"/>
        <sz val="11.0"/>
      </rPr>
      <t>Почти весь долг в отклоненных т.к. некорректно высылали посылки</t>
    </r>
  </si>
  <si>
    <t>По факту посылка не была отправлена и на письма про посылку не ответили</t>
  </si>
  <si>
    <t>Не надо звонить, Вера свяжется сама</t>
  </si>
  <si>
    <t>RXG37128</t>
  </si>
  <si>
    <t>11.11. пономеру ответила жена Д.В., она дала номер Дмитрия Вл. 8 923 3041853 По этому номеру не дозвонилась. 17.11 ндз 19.11 ндз, 27.11 - написали письмо . 16.01: других контактов нет</t>
  </si>
  <si>
    <t>HBK67692</t>
  </si>
  <si>
    <t xml:space="preserve">13.11 обещал что все дособирает все текущие заявления до 5 декабря </t>
  </si>
  <si>
    <t>TEQ51596</t>
  </si>
  <si>
    <t>встреча 29 мая</t>
  </si>
  <si>
    <t>Мало отправили</t>
  </si>
  <si>
    <r>
      <rPr>
        <rFont val="Calibri"/>
        <b/>
        <i/>
        <color theme="1"/>
        <sz val="11.0"/>
      </rPr>
      <t xml:space="preserve">13.11. сказал что отправит до конца следующей недели, но отрицательно отреагировал когда рекомендовала формировать эл. опись . </t>
    </r>
    <r>
      <rPr>
        <rFont val="Calibri"/>
        <b/>
        <i/>
        <color rgb="FFFF0000"/>
        <sz val="11.0"/>
      </rPr>
      <t>Большая часть долга осталась, шлют без описи</t>
    </r>
  </si>
  <si>
    <t>27.01 - ндз 30.01 опись не делает, посылку отпралял, реквизиты не помнит</t>
  </si>
  <si>
    <t>отправил посылку</t>
  </si>
  <si>
    <t>QNS80607</t>
  </si>
  <si>
    <t>13.11.-ндз 21.11 ндз, 24.11 ндз 25.11 написала письмо; 16.01 Вера заменила админа на Гурьянова</t>
  </si>
  <si>
    <t xml:space="preserve">За 2025 год отправили 1 заявление, остальные документы за 2023 год, 29.01 - Гурьянов обещал все отправить до середины февраля, некоторые оргиналы были утеряны, выслала в письме инструкцию </t>
  </si>
  <si>
    <t>За 2025 год отправили 1 заявление, остальные документы за 2023 год</t>
  </si>
  <si>
    <t>HZY13176</t>
  </si>
  <si>
    <r>
      <rPr>
        <rFont val="Calibri"/>
        <b/>
        <i/>
        <color theme="1"/>
        <sz val="11.0"/>
      </rPr>
      <t xml:space="preserve">13.11 - обещал все отправить на следующей неделе примерно . </t>
    </r>
    <r>
      <rPr>
        <rFont val="Calibri"/>
        <b/>
        <i/>
        <color rgb="FFFF0000"/>
        <sz val="11.0"/>
      </rPr>
      <t>долг 4 кв 25</t>
    </r>
  </si>
  <si>
    <t>OFF59538</t>
  </si>
  <si>
    <r>
      <rPr>
        <rFont val="Calibri"/>
        <b/>
        <i/>
        <color theme="1"/>
        <sz val="11.0"/>
      </rPr>
      <t xml:space="preserve">19.11 кцр заблокирован, отрпавила инструкцию по восстановлению доступа  24.11 сертификат выслал, но регистрацию не прошел, ндз 25.11 ндз 26.11 ндз 27.11 отправила письмо. </t>
    </r>
    <r>
      <rPr>
        <rFont val="Calibri"/>
        <b/>
        <i/>
        <color rgb="FFFF0000"/>
        <sz val="11.0"/>
      </rPr>
      <t>1 док в долге</t>
    </r>
  </si>
  <si>
    <t>TMB86363</t>
  </si>
  <si>
    <r>
      <rPr>
        <rFont val="Calibri"/>
        <b/>
        <i/>
        <color theme="1"/>
        <sz val="11.0"/>
      </rPr>
      <t xml:space="preserve">11.11 С Юлией зашли в Докси, посмотрели долги, сложность время и сотрудники на удалёнке, договорились на отправку заявлений к концу ноября. Письмо выслано. </t>
    </r>
    <r>
      <rPr>
        <rFont val="Calibri"/>
        <b/>
        <i/>
        <color rgb="FFFF0000"/>
        <sz val="11.0"/>
      </rPr>
      <t>долг 4 кв 25 и в отклоненных 25 год</t>
    </r>
  </si>
  <si>
    <t>NAG41507</t>
  </si>
  <si>
    <t>11.11 ндз 17.11 ндз 19.11 ндз 25.11 написала письмо</t>
  </si>
  <si>
    <t>YTA84926</t>
  </si>
  <si>
    <t xml:space="preserve">13.11 - у него очень много работы но он очень понимающий и сказал что очень постарается выслать все до конца года за 2025 год </t>
  </si>
  <si>
    <t>QGV63377</t>
  </si>
  <si>
    <t>14.11 ндз 19.11 ничего не знают, просят инструкции, попросил продублировать на info@dalmatovocrb.ru 24.11 пошел смотреть инструкцию, оригиналы есть не все</t>
  </si>
  <si>
    <t>CUP42178</t>
  </si>
  <si>
    <t>11.11 - ндз, 17.11 - сложностей нет, видимо руки не дошли</t>
  </si>
  <si>
    <t>YLV27075</t>
  </si>
  <si>
    <r>
      <rPr>
        <rFont val="Calibri"/>
        <b/>
        <i/>
        <color theme="1"/>
        <sz val="11.0"/>
      </rPr>
      <t xml:space="preserve">11.11 Зашли в Докси, клиент готов отправить документы "хоть завтра". Письмо отправлено. </t>
    </r>
    <r>
      <rPr>
        <rFont val="Calibri"/>
        <b/>
        <i/>
        <color rgb="FFFF0000"/>
        <sz val="11.0"/>
      </rPr>
      <t xml:space="preserve"> копят долги за предыдущие периоды 25 и за 4 кв. 25</t>
    </r>
  </si>
  <si>
    <t xml:space="preserve">20.04 - сказал что посылку отправили, но она куда то потерялась, трек номера нет, обещал посмотреть что осталось если не будет документов обещал переподписать и отправить до конца апреля </t>
  </si>
  <si>
    <t>BLK15129</t>
  </si>
  <si>
    <r>
      <rPr>
        <rFont val="Calibri"/>
        <b/>
        <i/>
        <color theme="1"/>
        <sz val="11.0"/>
      </rPr>
      <t xml:space="preserve">11.11 говорит что собирает доки с филиалов, и они теряются. Не понимает почему ему отклоняют документы, говорит что повторно отправляет и их снова отклоняют. посылку отправил вчера. В докси сказал покопается и попытается разобраться с кого просить заявления. </t>
    </r>
    <r>
      <rPr>
        <rFont val="Calibri"/>
        <b/>
        <i/>
        <color rgb="FFFF0000"/>
        <sz val="11.0"/>
      </rPr>
      <t>Закрыли не все долги за 25 год, но уже высылают 26 год</t>
    </r>
  </si>
  <si>
    <t xml:space="preserve">26.01.26 - Обещал отправить на этой неделе. </t>
  </si>
  <si>
    <t>KOM26197</t>
  </si>
  <si>
    <t>12.11 по телефону Владимир уволился, дал контакт Александра 8 953 8003431 Александр ответил, что не разобрался ещё как работать в Докси, не знает о задолжности. Отправила письмо с инструкцией, договорились о том, что он изучает Докси, собирает оригиналы.  Не договариварились о сроках отправки собранных до-в. Повторно звонить сначала 8 995 1019681  - на первый номер не возьмет 17.11 еще не заходил в Докси, отправит к концу ноября</t>
  </si>
  <si>
    <t>UHD20545</t>
  </si>
  <si>
    <r>
      <rPr>
        <rFont val="Calibri"/>
        <b/>
        <i/>
        <color theme="1"/>
        <sz val="11.0"/>
      </rPr>
      <t xml:space="preserve">13.11 только вышел на работу, про задолженность знает, не в курсе как работать в Контур.Докси, просто собирал оригиналы и передавал секретарям для отправки. </t>
    </r>
    <r>
      <rPr>
        <rFont val="Calibri"/>
        <b/>
        <i/>
        <color rgb="FFFF0000"/>
        <sz val="11.0"/>
      </rPr>
      <t>Шлют без описи есть в долгах 25 год 4 кв</t>
    </r>
  </si>
  <si>
    <t>PMW09012</t>
  </si>
  <si>
    <t>11.11 ндз, 17.11 сменился ответственный сотрудник (по безопасности) + был переезд, все сделают</t>
  </si>
  <si>
    <t>DGB13407</t>
  </si>
  <si>
    <t>14.11 ндз, 19.11 ндз, и20.11 ндз. 24.11.25 Некрасов Алексей Андреевич заменен на Зотов Олег 25.11 КЦР заблокирован, истек серт главного админа, счет на новый не оплачен. Передали трубку Некрасову, согласился выслать сертификат, у них сложности сейчас с контрактной службой. Письмо отправила Некрасову nekrasov-aa@sokb.yamalmed.ru</t>
  </si>
  <si>
    <t>QAU94752</t>
  </si>
  <si>
    <t>Не отправили посылку, Частично ликвидировали долг</t>
  </si>
  <si>
    <t>14.11 у него серт истек, другому сотруднику доступ не дадут. Есть условная оплата и проверенная форма на выпуск нового серта. Эксперты сказали, что ему нужно завершить выпуск, скинула инструкции</t>
  </si>
  <si>
    <t xml:space="preserve">27.01. - ндз , 02.02 - проблема в сотрудниках на удаленке, попробует стребовать до конца февраля </t>
  </si>
  <si>
    <t>CEY29793</t>
  </si>
  <si>
    <t>Отправили посылку, Зайдем через менеджера</t>
  </si>
  <si>
    <t>14.11 ндз, 21.11 ндз 24.11 ндз. 24.11.25 заменили Прошкина Наталья Игоревна на Болдышева Наталия Игоревна 25.11 ндз 26.11 ндз 27.11 ндз, 27.11 написала письмо Болдышевой Н.И но она на больничном с 26.11 переслали ее письмо на почту Н.Прошкиной nproshki@Amgen.com (была указана в автоматическом ответе) . 06.02 Вера написала в 4148 так как за нимм закреплен клиент</t>
  </si>
  <si>
    <t>YYV14953</t>
  </si>
  <si>
    <t>14.11 забыл, отправит</t>
  </si>
  <si>
    <t>SIT02729</t>
  </si>
  <si>
    <r>
      <rPr>
        <rFont val="Calibri"/>
        <b/>
        <i/>
        <color theme="1"/>
        <sz val="11.0"/>
      </rPr>
      <t>13.11 ндз 17.11 думал что все отправили, про Докси знает, но видимо давно не заходил, попросил перевзонить 7.12 но я сказал, что если будут вопросы, пусть пишет обветное письмо на почту,</t>
    </r>
    <r>
      <rPr>
        <rFont val="Calibri"/>
        <b/>
        <i/>
        <color rgb="FFFF0000"/>
        <sz val="11.0"/>
      </rPr>
      <t xml:space="preserve">Вместо заявления на Данилину от 07.07.2025 к форме cfcddcbe-19be-4cb1-8927-8eb59ca39830 поступило повторно заявление от 08.09.2025 к форме b14fe11a-8d5f-4bea-a5ea-c3b870afab6b </t>
    </r>
    <r>
      <rPr>
        <rFont val="Calibri"/>
        <b/>
        <i/>
        <color theme="1"/>
        <sz val="11.0"/>
      </rPr>
      <t>15.04 сказала про Данилину, поищет и отправит к концу апреля</t>
    </r>
  </si>
  <si>
    <t>03,03 у них посылка выслана в середине января но еще не проверена, 15.04 сказала про Данилину, поищет и отправит к концу апреля</t>
  </si>
  <si>
    <t>BUP91212</t>
  </si>
  <si>
    <t>11.11 сбросил 2 раза, 17.11 сброс 2 раза 19.11 сбрасывает 25.11 написала письмо; 16.01.25 один админ Король</t>
  </si>
  <si>
    <t>COH41804</t>
  </si>
  <si>
    <t>14.11 ждут водителя из отпуска, хотят привезти на Широкую речку, про Докси ничего не знал, рассказала. Отправила уточнение по адресу доставки</t>
  </si>
  <si>
    <t>26.01 ндз. 02.02.26 - Докси не пользуется досих пор. поять попроситла отправить итнструкцию по работе с Докси, но адрес эл. почты указал другой aa@mc-paracels.ru. Информации по отправленным посылкам нет. Обущал узнать и ответным письмом скинуть данные по посылке.</t>
  </si>
  <si>
    <t>HLA87283</t>
  </si>
  <si>
    <r>
      <rPr>
        <rFont val="Calibri"/>
        <b/>
        <i/>
        <color theme="1"/>
        <sz val="11.0"/>
      </rPr>
      <t xml:space="preserve">14.11 ндз, 21.11 сказал ближе к 18-00 екб перезвонить 24.11 ндз, 25.11 - ндз  26.11 ндз 27.11 письмо отправлено. 03.03: если не получится дозвониться, Вера сменит админа. </t>
    </r>
    <r>
      <rPr>
        <rFont val="Calibri"/>
        <b/>
        <i/>
        <color rgb="FFFF0000"/>
        <sz val="11.0"/>
      </rPr>
      <t>Не прислали листы ознакомления</t>
    </r>
  </si>
  <si>
    <t>"Нет, ждем посылки", "Да, отправили но мало"</t>
  </si>
  <si>
    <t>03.03.26 -  поздороволся, выслушал мое приветствие и бросил трубку.</t>
  </si>
  <si>
    <t>отказ разговариватт</t>
  </si>
  <si>
    <t>JMK69578</t>
  </si>
  <si>
    <t>сказал сложностей нет, отправит</t>
  </si>
  <si>
    <t>26,01 скинул, 02.02 сказал проблем с отправкой нет, ждет документы от пользователей. обещал выслать к концу февраля.</t>
  </si>
  <si>
    <t>SHD61238</t>
  </si>
  <si>
    <t>14.11 зашел в Докси, посмотрел</t>
  </si>
  <si>
    <t>03.03.26 - звонок отклонил ндз.</t>
  </si>
  <si>
    <t>Не надо звонить, Недозвон 1-2 раз</t>
  </si>
  <si>
    <t>BXQ58459</t>
  </si>
  <si>
    <t>14.11 автоответ, 21.11 автоответ 24.11 ндз. 24.11.25 Алмазов Борис Васильевич заменен Билевич Алексей 25.11 распределенная компания, долго к ним идут заявления от сотрудников, есть уволенные, достались долги от предыдущего админа</t>
  </si>
  <si>
    <t>"Нет, ждем проверки посылок", "Да, отправили но мало"</t>
  </si>
  <si>
    <t>03,03 им уже звонили в феврале, срок у них до конца марта</t>
  </si>
  <si>
    <t>AEB83954</t>
  </si>
  <si>
    <t>Частично ликвидировали долг, Есть претензия</t>
  </si>
  <si>
    <r>
      <rPr>
        <rFont val="Calibri"/>
        <b/>
        <i/>
        <color theme="1"/>
        <sz val="11.0"/>
      </rPr>
      <t xml:space="preserve">14.11 В кусе что нужно отправлять, заявления на руках есть, рассказала про Докси. </t>
    </r>
    <r>
      <rPr>
        <rFont val="Calibri"/>
        <b/>
        <i/>
        <color rgb="FFFF0000"/>
        <sz val="11.0"/>
      </rPr>
      <t>Долг за 25 год в отклоненных, шлют копии</t>
    </r>
  </si>
  <si>
    <t>TUB12913</t>
  </si>
  <si>
    <t>14.11 забыли, отправят</t>
  </si>
  <si>
    <t>29.01 отправили уже большую часть, некоторых оригиналов не оказалось, запросили у филиалов</t>
  </si>
  <si>
    <t>JPY74036</t>
  </si>
  <si>
    <r>
      <rPr>
        <rFont val="Calibri"/>
        <b/>
        <i/>
        <color theme="1"/>
        <sz val="11.0"/>
      </rPr>
      <t xml:space="preserve">13.11 уже не работает, ответственного узнать у Прошутя С. - IT директор. Телефон взяла из админки - 7 (923) 410-31-14. Она ответственная, отправила письмо на адрес sofya.proshutya@globalccm.com  </t>
    </r>
    <r>
      <rPr>
        <rFont val="Calibri"/>
        <b/>
        <i/>
        <color rgb="FFFF0000"/>
        <sz val="11.0"/>
      </rPr>
      <t>Осталось 3 документа вдолге</t>
    </r>
  </si>
  <si>
    <t>QVY57788</t>
  </si>
  <si>
    <t>13.11 ндз 17.11 в отпуске, не занал что такое Докси</t>
  </si>
  <si>
    <t>JGN06796</t>
  </si>
  <si>
    <t>Частично ликвидировали долг, Разобраться с посылкой</t>
  </si>
  <si>
    <t>14.11 ндз, 19.11 ндз 20.11 ндз. 24.11.25 Ястребинский Василий Дмитриевич замени Верясов Леонид Вячеславович 25.11 не отвечает за данную компанию, кто ответственный не назвал, т.к. сомневается что я звоню от Контура. 27.11.25 Вера написала менеджерам</t>
  </si>
  <si>
    <t>Админ не админ</t>
  </si>
  <si>
    <t>RKY93001</t>
  </si>
  <si>
    <t>Частично ликвидировали долг, Отправили посылку, Зайдем через менеджера</t>
  </si>
  <si>
    <t>14.11 ндз, 21.11 скинул 24.11 ндз. 24.11.25 Усик Сергей Вячеславович заменили на Бычков Игорь Игоревич 25.11 ндз 26.11 ндз 27.11 ндз, 27.11 - написали письмо. 16.01.26 Вера заменила контакт на Карпач Владислав Геннадьевич, по Докси он отправлял документы</t>
  </si>
  <si>
    <t>Отправили документы за 4 кв в января, а за прошлые периды документы не отправлены. 29.01.26 - Сказал, что свою часть документов он отправляет. У них несколько организаций и нужно в личном кабинете КЦР смотреть какой админ выпустил серт и не отправил доки. Письмо не писали</t>
  </si>
  <si>
    <t>Отправили документы за 4 кв в января, а за прошлые периды документы не отправлены</t>
  </si>
  <si>
    <t>GEJ76348</t>
  </si>
  <si>
    <t>11.11 сказал что отправит, но не понимает зачем нам это нужно, другие УЦ этого не требуют. КЦР заблокирован, но вдруг у ниего документы есть на руках и он нам их отправит</t>
  </si>
  <si>
    <t>"Да, отправили но мало", Напомнить про 4 кв, Напомнить про 1 кв</t>
  </si>
  <si>
    <t>PFR32744</t>
  </si>
  <si>
    <t>14.11 думала что отправила все, пойдет к сотрудникам, отправит остаток</t>
  </si>
  <si>
    <t>EHA33371</t>
  </si>
  <si>
    <t>13.11 ндз 17.11 нет долга</t>
  </si>
  <si>
    <t>KSU47028</t>
  </si>
  <si>
    <t>Нужно вернуть посылку в Докси</t>
  </si>
  <si>
    <t>13.11 сказал, что отдал курьеру посылку, попросила в Докси тоже ее отправить</t>
  </si>
  <si>
    <t>Нужно сообщить, что посылку от 17 ноября мы не получили, писали об этом письмо, считаем что документы по факту не были отправлены</t>
  </si>
  <si>
    <t>DAF68103</t>
  </si>
  <si>
    <r>
      <rPr>
        <rFont val="Calibri"/>
        <b/>
        <i/>
        <color theme="1"/>
        <sz val="11.0"/>
      </rPr>
      <t xml:space="preserve">14.11 сложная логистика, говорит, что находятся далеко, когда распутица, почта не работает, не хочет отправлять по малу, копит примерно до 20, про Докси не знал, просто отправлял физически через секретарей, думал, что можно раз в полгода, а не каждый квартал. </t>
    </r>
    <r>
      <rPr>
        <rFont val="Calibri"/>
        <b/>
        <i/>
        <color rgb="FFFF0000"/>
        <sz val="11.0"/>
      </rPr>
      <t>Долги в отклоненных</t>
    </r>
  </si>
  <si>
    <t>XIN56299</t>
  </si>
  <si>
    <t>13.11 ему надоело, что мы им постоянно звоним, сказал писать ему на почту, поставила срок в письме 27.11.2025</t>
  </si>
  <si>
    <t>"Отказ разговаривать, направили письмо", Письмо написано</t>
  </si>
  <si>
    <t>PUW38368</t>
  </si>
  <si>
    <t>14.11 ндз 19.11 ндз 20.11 ндз 25.11 письмо отправлено</t>
  </si>
  <si>
    <t>LNJ68119</t>
  </si>
  <si>
    <t>14.11 все помнит, знает, был в отпуске</t>
  </si>
  <si>
    <t>"Да, отправили но мало", Напомнить про 4 кв, Напомнить про 1 кв, "Да,звоним в апреле"</t>
  </si>
  <si>
    <t xml:space="preserve">09.04 - все отправит до конца месяца </t>
  </si>
  <si>
    <t>BEW69372</t>
  </si>
  <si>
    <t>14.11 отправит, но не знал про Докси</t>
  </si>
  <si>
    <t>26.01.26 - ндз. автоответчик. 02.02 ндз 03.02 озадачивал своего сотрудника, вроде что-то отправляли, пошел узнавать.</t>
  </si>
  <si>
    <t>AHF28135</t>
  </si>
  <si>
    <t>14.11 ндз, 21.11 ндз, 24.11. ндз. 24.11.25 заменили Фокин Олег Константинович на Артамонов Артем Анатольевич 25.11 ндз 26.11 не отвечает, нужен Попов Михаил Юрьевич +7 (925) 453-28-19 popov_my@rusagrotrans.ru ндз 27.11 сделают</t>
  </si>
  <si>
    <t>MIQ72788</t>
  </si>
  <si>
    <t>14.11 в 15-,35, отправит все на след неделе</t>
  </si>
  <si>
    <t>TIA30522</t>
  </si>
  <si>
    <r>
      <rPr>
        <rFont val="Calibri"/>
        <b/>
        <i/>
        <color theme="1"/>
        <sz val="11.0"/>
      </rPr>
      <t xml:space="preserve">14.11 сказала есть только сложности со сбором оригиналов, на след неделе постарается все отправить нам. </t>
    </r>
    <r>
      <rPr>
        <rFont val="Calibri"/>
        <b/>
        <i/>
        <color rgb="FFFF0000"/>
        <sz val="11.0"/>
      </rPr>
      <t>Большая часть долга осталась</t>
    </r>
  </si>
  <si>
    <t>29.01 часть уже отправили, есть уволенные, постарается дослать</t>
  </si>
  <si>
    <t>RNK30293</t>
  </si>
  <si>
    <r>
      <rPr>
        <rFont val="Calibri"/>
        <b/>
        <i/>
        <color theme="1"/>
        <sz val="11.0"/>
      </rPr>
      <t xml:space="preserve">20.11 филиалы по всей стране, пошел собирать, не видит Долги в Докси, спросил что делать при утере оригинала, есть уволенные сотрудники. </t>
    </r>
    <r>
      <rPr>
        <rFont val="Calibri"/>
        <b/>
        <i/>
        <color rgb="FFFF0000"/>
        <sz val="11.0"/>
      </rPr>
      <t>Сформировали посылку в докси и отправили электронно, но при этом совершенно другой состав отправили без описи. Посылку в докси закрыли часть заявлений ушла в отклонение.</t>
    </r>
  </si>
  <si>
    <t xml:space="preserve">17.04. - ндз , 20.04 - ндз, 21.04 - ндз </t>
  </si>
  <si>
    <t>JWW15433</t>
  </si>
  <si>
    <t>14.11 все знает, сложностей нет, отправит</t>
  </si>
  <si>
    <t>QCW77149</t>
  </si>
  <si>
    <t>14.11 ндз. 21.11ндз 24.11 ндз 24.11.25 заменили Нечаев Максим Васильевич на Вохмянин Геннадий Владимирович 25.11 Нужен Нечаев, Геннадий не занимается этим вопросом, тот не в отпуске. Попробовала еще раз Нечаеву, ндз 16.01: других контактов нет</t>
  </si>
  <si>
    <t>Админ не админ, Недозвон, Письмо написано, Реакции на письмо не было</t>
  </si>
  <si>
    <t>23,01 ндз, написала повторное письмо</t>
  </si>
  <si>
    <t>HLL03771</t>
  </si>
  <si>
    <r>
      <rPr>
        <rFont val="Calibri"/>
        <b/>
        <i/>
        <color theme="1"/>
        <sz val="11.0"/>
      </rPr>
      <t xml:space="preserve">14.11 забыли, все знают, </t>
    </r>
    <r>
      <rPr>
        <rFont val="Calibri"/>
        <b/>
        <i/>
        <color rgb="FFFF0000"/>
        <sz val="11.0"/>
      </rPr>
      <t>долги за 4 кв 25 и частично за предыдущие кварталы 25</t>
    </r>
  </si>
  <si>
    <t>TWJ01518</t>
  </si>
  <si>
    <r>
      <rPr>
        <rFont val="Calibri"/>
        <b/>
        <i/>
        <color theme="1"/>
        <sz val="11.0"/>
      </rPr>
      <t xml:space="preserve">13.11 ндз, 17.11 до конца ноября отправит сказала. </t>
    </r>
    <r>
      <rPr>
        <rFont val="Calibri"/>
        <b/>
        <i/>
        <color rgb="FFFF0000"/>
        <sz val="11.0"/>
      </rPr>
      <t>Долги в исправленных за 25 год</t>
    </r>
  </si>
  <si>
    <t>23.01 ндз.28.01.26 - ндз. 02.02 - по Докси отправил посылку 26.01</t>
  </si>
  <si>
    <t>KEQ64487</t>
  </si>
  <si>
    <t>14.11 остаток на руках, отправит</t>
  </si>
  <si>
    <t>VZD38518</t>
  </si>
  <si>
    <t xml:space="preserve">14.11 очень занят звонить в пн 17.11 странный автоответчик, 21.11 ндз 25.11 письмо отправлено. </t>
  </si>
  <si>
    <t>NLV15814</t>
  </si>
  <si>
    <t>14.11 ндз, 21.11 автоответ, 24.11.- ндз 24.11.25 заменили Балакирев Павел Владимирович на Совергин Алексей 25.11 ндз 26.11 - ндз 27.11 ндз 27.11 отправила письмо</t>
  </si>
  <si>
    <t>"Нет, ждем посылки", "Да, отправили но мало", Звоним один раз</t>
  </si>
  <si>
    <t>3 ндз в феврале +написано письмо + 3,03 снова ндз</t>
  </si>
  <si>
    <t>OXA61717</t>
  </si>
  <si>
    <t>14.11 ндз, 21.11 ндз 24.11 ндз;  24.11.25 Васильев Дмитрий Андреевич заменили на Дупак Артем 25.11 сложностей нет, документы на руках, отправят</t>
  </si>
  <si>
    <t>29.01.26 - ндз. 02.02 Артем высылает свою часть, ждет когда ему пришлют трек номер от курьера, остальная часть у Васильев Дмитрий Андреевич +7 (909) 922-77-32 dmitriy.vasilyev@market-da.ru Дмитрий что-то оправлял, уже не помнит что, посмотрит у себя, если что дооотправить в феврале</t>
  </si>
  <si>
    <t>AEE70784</t>
  </si>
  <si>
    <t>VIP клиент</t>
  </si>
  <si>
    <t>Не отправили посылку, %долга вырос</t>
  </si>
  <si>
    <t>14.11 сказала что вернется сотрудник с совещания, она все передаст и отправят скоро</t>
  </si>
  <si>
    <t>29.01.26 - Ответила, что документами занимается другой человек. Контакт дать не может тк личный. В понедельник будет в офисе, узнает информацию по докам и сообщит нам. Договорились на перезвон в понедельник 02.02.26 в 11 или 12 ч по мск., , 02.02 - после перезвона ндз , 03.02 - номер занят, перезвонить, после перезвона трубку взяла но после приветствия трубку бросила</t>
  </si>
  <si>
    <t>VIL74937</t>
  </si>
  <si>
    <t>16-20 14.11 перезвонить. Сказал часть документов испортили строители, будет восстанавливать и отправит как можно быстрей</t>
  </si>
  <si>
    <t>29.01 - попала на обед, попросил не звонить во время обеда, звонить в любое время кроме 13-14 по мск 30.01 ндз 02.02 сказал что часть сотрудников уволилась, будут создавать инц. остальные на след неделе обещал отправить</t>
  </si>
  <si>
    <t>VDM51138</t>
  </si>
  <si>
    <t>11.11 ндз 17.11 ндз 20.11 ндз 26.11 отправила письмо</t>
  </si>
  <si>
    <t>FXD08453</t>
  </si>
  <si>
    <r>
      <rPr>
        <rFont val="Calibri"/>
        <b/>
        <i/>
        <color theme="1"/>
        <sz val="11.0"/>
      </rPr>
      <t xml:space="preserve">11.11 - скорее всего занимается этим не сам, думал, что все отправляют, ушел выяснять, попросил перезвонить на след. неделе Сказал, что в ноябре отправят 17.11 попросил перезвонить в 11 екб, они не знали куда отправлять, поэтому просто складывали у себя. После того как получили наше письмо поняли, все отправят. </t>
    </r>
    <r>
      <rPr>
        <rFont val="Calibri"/>
        <b/>
        <i/>
        <color rgb="FFFF0000"/>
        <sz val="11.0"/>
      </rPr>
      <t>Шлют без описи</t>
    </r>
  </si>
  <si>
    <t xml:space="preserve">21.04  - передаст поручения, постараются отправить все до середины мая </t>
  </si>
  <si>
    <t>GWP60728</t>
  </si>
  <si>
    <t>13.11 ндз Кукушкин Сергей Васильевич 17.11 нлз 19.11 Забыл, постарается</t>
  </si>
  <si>
    <t>UGH25834</t>
  </si>
  <si>
    <t>11.11 ему пересылают заявления из разных уголков страны, хочет уточнить все ли ему отправили, попросил перезвонить. 12.11 сказал что в четверг приедут заявления к нему машиной. попросила его создать опись в докси и направить все к нам. Сказал до конца ноября сможет отправить точно</t>
  </si>
  <si>
    <t>22.01. нлз. 28.01.26 - Документы собирает, про отклоненные знает. Обещал выслать документы на следующей неделе (2- 8.02.26).</t>
  </si>
  <si>
    <t>TWB57584</t>
  </si>
  <si>
    <t>в больнице он не работает. Заменили Рудина на Захарова, 20.11 Захаров ндз, 21.11 ндз 24.11 ндз 26.11 отправила письмо</t>
  </si>
  <si>
    <t>KXC34849</t>
  </si>
  <si>
    <t xml:space="preserve">14.11 ндз, 21.11 ндз 24.11 ндз; 24.11.25 заменили Великий Станислав Игоревич на Никушин Василий Александрович, 25.11 - ндз  26.11 ндз 27.11 ндз отправили письмо, 27 поросил в письме отсрочку до конца года </t>
  </si>
  <si>
    <t>NLE04861</t>
  </si>
  <si>
    <t>14.11 перезвонить 16-25, ндз 21.11 у него вопросы про подключения других КЦР, по документам посмотрит, вопросы обещал продублировать на почту, инструкции отправила 24.11 в 15 екб перезвоинть, ндз 25.11 договорились к концу года</t>
  </si>
  <si>
    <t>KRN73348</t>
  </si>
  <si>
    <t>14.11 ндз. 21.11 сказал сложности только со сбором доков с филиалов, ему только недавно их прислали. обещал отправить 24-25 ноября</t>
  </si>
  <si>
    <t xml:space="preserve">17.04 - все знает, ждет от филиалов долги обещал отправить все на следующей неделе </t>
  </si>
  <si>
    <t>FLA11526</t>
  </si>
  <si>
    <t>Написала письмо, есть переписка напрямую с клиентом</t>
  </si>
  <si>
    <t>14.11 сказала, что передает все что есть. Ничего не может сказать по срокам, судя по всему ее не волнует передают ли сотрудники ей оригиналы или нет. Попросила ее постараться все запросить к Новому Году. 24.12 написала письмо, что подготовила на отправку часть документво за 3 и 4 кварталы, остальные потом обещала также отправить.</t>
  </si>
  <si>
    <t>03,03 пообещала отправить все до конца недели</t>
  </si>
  <si>
    <t>WRX59605</t>
  </si>
  <si>
    <r>
      <rPr>
        <rFont val="Calibri"/>
        <b/>
        <i/>
        <color theme="1"/>
        <sz val="11.0"/>
      </rPr>
      <t xml:space="preserve">Сказал проблематично со всей России собирать оригиналы и поэтому постарается выслать долги до конца года, регулярно отправляет посылки. </t>
    </r>
    <r>
      <rPr>
        <rFont val="Calibri"/>
        <b/>
        <i/>
        <color rgb="FFFF0000"/>
        <sz val="11.0"/>
      </rPr>
      <t>Долг в отклоненных за 25 год</t>
    </r>
  </si>
  <si>
    <t>LCK79453</t>
  </si>
  <si>
    <t>12.11 скинул, 17.11 скинул 19.11 не знал что нужно отправлять каждыфй квартал, не знал про Докси. Письмо на почту asu_msrb@mail.ru</t>
  </si>
  <si>
    <t xml:space="preserve">21.04 - ндз, 22.04 - ндз , 23.04. - ндз </t>
  </si>
  <si>
    <t>Не надо звонить, Недозвон, Письмо написано</t>
  </si>
  <si>
    <t>KAJ42496</t>
  </si>
  <si>
    <t>14.11 филиалы в разных городах, нужно время чтобы все собрать, что-то теряется</t>
  </si>
  <si>
    <t>XSH65141</t>
  </si>
  <si>
    <t>Разобраться с посылкой</t>
  </si>
  <si>
    <r>
      <rPr>
        <rFont val="Calibri"/>
        <b/>
        <i/>
        <color theme="1"/>
        <sz val="11.0"/>
      </rPr>
      <t xml:space="preserve">14.11 ндз 21.11 ндз, 24.11. - ндз; 24.11.25 заменили Волков Игорь Николаевич на Кулешова Елена 25.11 ндз, 26.11 - Кулешова сказала что документы отправляют каждый сотрудник сам за себя , но постарается стребовать с них . </t>
    </r>
    <r>
      <rPr>
        <rFont val="Calibri"/>
        <b/>
        <i/>
        <color rgb="FFFF0000"/>
        <sz val="11.0"/>
      </rPr>
      <t>Много долгов в отклоненных</t>
    </r>
  </si>
  <si>
    <t>03,03 сказала что у нее отправляют филиалы и ей отчитались что долгов нет, в докси отправлять ничего не собирается, отправляют только почтой россии, обещала выслать треки в ответном письме. сказала что у них нет задолженности...</t>
  </si>
  <si>
    <t>UDQ66110</t>
  </si>
  <si>
    <r>
      <rPr>
        <rFont val="Calibri"/>
        <b/>
        <i/>
        <sz val="11.0"/>
      </rPr>
      <t xml:space="preserve">17.11 это телефон супруга, уже не первый раз звоним, ее телефон это 89032049393. У нее есть еще один кабинет в Контуре и ей запретили привязывать КЦР к ее номеру, это неудобно+ у нее заканчивается серт, а на выпуск нового никто ссылку не прислал. Ей странно что Контур это не отслеживает. У них распредленная компания, сотрудники отправляют документы не ей, а сразу нам, поэтому в Докси ничего не регистрируется. Надо спросить Гайнетдинову Елену - +7 (927) 810-68-55 (по админке) ндз, назначена встреча </t>
    </r>
    <r>
      <rPr>
        <rFont val="Calibri"/>
        <b/>
        <i/>
        <color rgb="FF1155CC"/>
        <sz val="11.0"/>
        <u/>
      </rPr>
      <t>https://kontur.ktalk.ru/um7dccw9ty3j</t>
    </r>
    <r>
      <rPr>
        <rFont val="Calibri"/>
        <b/>
        <i/>
        <sz val="11.0"/>
      </rPr>
      <t xml:space="preserve"> 21.11 Елена в учебном отпуске, попросила список, проинформирует сотрудников, что нужно восстановить и отправить заявления, письмо на почту elena.gaynetdinova@abinbevefes.com. Они не выпускают сертификат пока сотрдуник не предоставить им квитанцию об отправки документов. </t>
    </r>
    <r>
      <rPr>
        <rFont val="Calibri"/>
        <b/>
        <i/>
        <color rgb="FFFF0000"/>
        <sz val="11.0"/>
      </rPr>
      <t>Шлют без описи 31 посылка за 26 г</t>
    </r>
  </si>
  <si>
    <t>не может сказать ничего определенного, т.к. сотрудники отправляют каждый сам за себя</t>
  </si>
  <si>
    <t>Вера свяжется сама</t>
  </si>
  <si>
    <t>QSN90038</t>
  </si>
  <si>
    <t>Частично ликвидировали долг, Ликвидировали долг</t>
  </si>
  <si>
    <t>17.11 сказал в течении недели все отправит</t>
  </si>
  <si>
    <t>"Да, отправили но мало", Напомнить про 4 кв, "Да,звоним в апреле", Напомнить про 1 кв</t>
  </si>
  <si>
    <t>17.04. - поищет документы и отправит до конца апреля, напомнила про 1 квартал 2026 и про листы ознакомления  , 07.05 - документы за 2024,2023 только. 27 апреля приехала посылка без опис</t>
  </si>
  <si>
    <t>GFC36530</t>
  </si>
  <si>
    <t>17.11 ндз 19.11 ндз, 21.11 сказал с филиалов ждет доки и до конца года отправит</t>
  </si>
  <si>
    <t xml:space="preserve">29.01 - отклонил вызов, 02.02 -  ндз, 03.02. - ндз </t>
  </si>
  <si>
    <t>AHS34336</t>
  </si>
  <si>
    <t>14.11 ндз, 19.11 сказал все вопросы к Оксане imamutdinova@ubrr.ru написала ей письмо, сказал стабильно все отправляют нам</t>
  </si>
  <si>
    <t>TWO56334</t>
  </si>
  <si>
    <t>Не отправили посылку, сломался</t>
  </si>
  <si>
    <t>17.11 занят, 18.11 скинул. 21.11 89371949341 Равдан ravdan.ulyumdzhiev@mail.ru Он новенький работает неделю. предыдущий админ сказал что все заявления в наличии, а этот пообещал все собрать и отправить</t>
  </si>
  <si>
    <t>OFN31394</t>
  </si>
  <si>
    <t>17.11 нет долга</t>
  </si>
  <si>
    <t>XWO71838</t>
  </si>
  <si>
    <t>сломался, Ликвидировали долг</t>
  </si>
  <si>
    <r>
      <rPr>
        <rFont val="Calibri"/>
        <b/>
        <i/>
        <color theme="1"/>
        <sz val="11.0"/>
      </rPr>
      <t xml:space="preserve">17.11 забыл но соберет в течении недели 03.12 пришло письмо, что посылка отправлена. </t>
    </r>
    <r>
      <rPr>
        <rFont val="Calibri"/>
        <b/>
        <i/>
        <color rgb="FFFF0000"/>
        <sz val="11.0"/>
      </rPr>
      <t>Долги за 4 кв 25</t>
    </r>
  </si>
  <si>
    <t>JMK01195</t>
  </si>
  <si>
    <t>сломался, Частично ликвидировали долг</t>
  </si>
  <si>
    <t>17.11 он вообще не знал что надо их отправлять , пообещал недели за 2 собрать. инструкцию отправила</t>
  </si>
  <si>
    <t>"Да, отправили но мало", "Да,звоним в апреле", Напомнить про 4 кв</t>
  </si>
  <si>
    <t>Клиенту нужно позвонить и сообщить, что он не отправил документы за 4 кв и необходимо направить документы за 1 кв, 14.04 - все помнит, все знает, напомнила про текущие и про долг за 2025 обещал отправить все на этой неделе (срок поставила 17.04)</t>
  </si>
  <si>
    <t>XMV03482</t>
  </si>
  <si>
    <r>
      <rPr>
        <rFont val="Calibri"/>
        <b/>
        <i/>
        <sz val="11.0"/>
      </rPr>
      <t xml:space="preserve">14.11 хочет чтобы подключились по удаленке и показали как работать в Докси. У него куча работы, ему так проще, чем читать инструкции. Назначена встреча 18.11.2025 в 15 екб </t>
    </r>
    <r>
      <rPr>
        <rFont val="Calibri"/>
        <b/>
        <i/>
        <color rgb="FF1155CC"/>
        <sz val="11.0"/>
        <u/>
      </rPr>
      <t>https://kontur.ktalk.ru/vphp3u1edud7</t>
    </r>
  </si>
  <si>
    <t>SMC10360</t>
  </si>
  <si>
    <r>
      <rPr>
        <rFont val="Calibri"/>
        <b/>
        <i/>
        <color theme="1"/>
        <sz val="11.0"/>
      </rPr>
      <t xml:space="preserve">11.11 ответственный сотрудник в отпуске до понедельника, выйдет и отправят. </t>
    </r>
    <r>
      <rPr>
        <rFont val="Calibri"/>
        <b/>
        <i/>
        <color rgb="FFFF0000"/>
        <sz val="11.0"/>
      </rPr>
      <t>Высылают без описи, много в отклоненных</t>
    </r>
  </si>
  <si>
    <t>22.01 пообещал отправить все к середине февраля</t>
  </si>
  <si>
    <t>TKH06185</t>
  </si>
  <si>
    <t>17.11 сказал сложности с сотрудниками, обьяснила про опись док-тов. Сказал постарается все отправить ближайшие 2 недели.</t>
  </si>
  <si>
    <t>29.01.26 ндз., 02.02. - ндз , 03.03. - ндз</t>
  </si>
  <si>
    <t>KVU29907</t>
  </si>
  <si>
    <t>13.11 нужен начальник информационного отдела, сам ему передаст, контакты давать отказался. Тот сам с нами свяжется. Аня нашла этого начальника -  в админке Скирпичников Александр Сергеевич, 7 (960) 769-51-52, его пока нет на работе. Перезвонить в 13 екб 17.11 документы собирает другой человек, который работает под Харитоновой, перезвон в 12 14 екб</t>
  </si>
  <si>
    <t>MNB07462</t>
  </si>
  <si>
    <t>17.11 ндз 21.11 посылка отправлена и получена</t>
  </si>
  <si>
    <t>XUY70013</t>
  </si>
  <si>
    <t>КЦР зблокирован 17.11 ндз 21.11 ндз 24.11 ндз, 26.11 письмо отправила. Передала сразу в ООД так как КЦР заблокирован</t>
  </si>
  <si>
    <t>EQO15435</t>
  </si>
  <si>
    <r>
      <rPr>
        <rFont val="Calibri"/>
        <b/>
        <i/>
        <color theme="1"/>
        <sz val="11.0"/>
      </rPr>
      <t xml:space="preserve">17.11 ндз 21.11 ндз 24.11 ндз 26.11 отправила письмо </t>
    </r>
    <r>
      <rPr>
        <rFont val="Calibri"/>
        <b/>
        <i/>
        <color rgb="FFFF0000"/>
        <sz val="11.0"/>
      </rPr>
      <t>в отклоненных 1 док за 25 год</t>
    </r>
  </si>
  <si>
    <t>BDH23553</t>
  </si>
  <si>
    <t xml:space="preserve">14.11 она не админ, дала номер IT отдела, 89128149650 Зорин Иван Николаевич ндз, 19.11 ндз, 20.11 ндз 28.11 письмо написано на адрес Zorin.ivan2014@yandex.ru 28.11 ответил на наше письмо, интересовался финдоставкой, продублировали ему ссылку на форму и файлик об услуге </t>
  </si>
  <si>
    <t>09.04. - ндз , 17.04 - документы на руках есть обещал отправить все до конца апреля , выслала письмо на почту  Зорина: Zorin.ivan2014@yandex.ru</t>
  </si>
  <si>
    <t>XKQ15093</t>
  </si>
  <si>
    <t>17.11 нет времени на оформление посылок в Контур.Докси. Если бы можно было просто отправлять, возможно так доки не задерживали.</t>
  </si>
  <si>
    <t>"Нет, Вера сама", Напомнить про 4 кв</t>
  </si>
  <si>
    <t>SXY23640</t>
  </si>
  <si>
    <t>интегратор</t>
  </si>
  <si>
    <t>Не отправили посылку, интегратор</t>
  </si>
  <si>
    <t>17.11 ндз 21.11 ндз 24.11 ндз 26.11 отправила письмо. 16.01: админ один Медведский, пробуем дозвониться. 16.01: нет других контактов</t>
  </si>
  <si>
    <t>22.01 секретарь автоответчик по этому номеру. 23,01 написала письмо повторное</t>
  </si>
  <si>
    <t>CXQ45057</t>
  </si>
  <si>
    <t>17.11 ндз 21.11 ндз 24.11 ндз; 24.11.25 заменили Хромов Дмитрий Николаевич на Столяров Михаил Викторович 25.11 Вообще не знал что нам что-то нужно отправлять, предшественник не уведомил, попросил напомнить после 14.12 еще раз</t>
  </si>
  <si>
    <t>просит напомнить еще раз 12-14 декабря</t>
  </si>
  <si>
    <t>29.01. - перезвонить в 17 по екб , у него только 1 заявление за 2025 на руках, попросил продублировать инструкции, мало информации про лист ознакомления</t>
  </si>
  <si>
    <t>QOY72883</t>
  </si>
  <si>
    <t>выставляем претензию, Уфа</t>
  </si>
  <si>
    <t>12.11 автоответчик, 17.11 он там не работает, к кому обратиться не знает. Вера написала менеджерам 19.11.25, потому что нет другого админа. Поменяли админа, звонить будем в рамках обзвона февраля</t>
  </si>
  <si>
    <t>OWP16597</t>
  </si>
  <si>
    <t>17.11 - не знал что нужно что-то передавать, нужны инструкции, некоторые сотрудники уже уволены</t>
  </si>
  <si>
    <t>29.01 перезвонить в 16 40 еб, у них реорганизация, попросил все инструкции отправить заново</t>
  </si>
  <si>
    <t>XGT74874</t>
  </si>
  <si>
    <t>претензию отложили до конца июня</t>
  </si>
  <si>
    <r>
      <rPr>
        <rFont val="Calibri"/>
        <b/>
        <i/>
        <color theme="1"/>
        <sz val="11.0"/>
      </rPr>
      <t xml:space="preserve">17.11 Коротков тех.спец, не занимается заявлениями, послал к Ковалёвк Михаилу +7 (916) 095-05-57 (из админ) Письмо на почту mikhail.kovalev@sftgroup.ru. </t>
    </r>
    <r>
      <rPr>
        <rFont val="Calibri"/>
        <b/>
        <i/>
        <color rgb="FFFF0000"/>
        <sz val="11.0"/>
      </rPr>
      <t>Большое количество долга осталось</t>
    </r>
  </si>
  <si>
    <t>29.01. - ндз 02.02 у него разъездная работа, не может обещать, что в феврале вышлет</t>
  </si>
  <si>
    <t>FYO27102</t>
  </si>
  <si>
    <t xml:space="preserve">17.11 сотрудник уволился, его кинули на зарплату и он очень рад, что у компании проблема:). Заменила трапезникова на Ульянова 20.11 Давно там не работает. 24.11.25 Вера заменила Ульянова на Уварова 25.11 - перезвонить в 17 по екб, в Докси не было долгов, когда заходил последний раз, что делать с Исправленными не знал., </t>
  </si>
  <si>
    <t xml:space="preserve">03,03 ндз, 14.04 - ждет оригиналы с филиалов, обещался отправить все до конца апреля </t>
  </si>
  <si>
    <t>YCR65260</t>
  </si>
  <si>
    <t>17.11 хочет все на почту, говорить не хочет</t>
  </si>
  <si>
    <t>поставила ему срок 01.12.2025, согласовали с экспертами КЦР до 23.01.2026</t>
  </si>
  <si>
    <t>Негатив</t>
  </si>
  <si>
    <t>GIK96321</t>
  </si>
  <si>
    <t>Выставляем претензию, Не отправили посылку</t>
  </si>
  <si>
    <t>Зайдем через менеджера, Не отправили посылку</t>
  </si>
  <si>
    <t>18.11 ндз 21.11 ндз</t>
  </si>
  <si>
    <t xml:space="preserve">28.01 ндз, 02.02 ндз, 03.02 - уточнить у коллег кто что не отправил и обещала до конца февраля все отправить </t>
  </si>
  <si>
    <t>SPQ78546</t>
  </si>
  <si>
    <t>18.11 сказал отправит в ближайшую неделю. что надо отправлять каждый квартал он якобы не знал</t>
  </si>
  <si>
    <t>JYJ72788</t>
  </si>
  <si>
    <t>13.11 не знал про Контур.Докси, все отправит</t>
  </si>
  <si>
    <t xml:space="preserve">20.04 - ндз, 21.04 - ндз , 22.04 - ндз </t>
  </si>
  <si>
    <t>TFW54869</t>
  </si>
  <si>
    <t>18.11 админ, но бумажками занимается другой, узнает, попросил перезвонить в 14 26 екб, ндз 21.11 ндз 24.11 ндз; 24.11.25 заменили Агеев Павел Сергеевич на Исупова Анна Вячеславовна</t>
  </si>
  <si>
    <t>28,01 отправили недавно посылку, оставшуюся часть ждет из москвы, как только доставят она отправит. в докси она работает.</t>
  </si>
  <si>
    <t>MYP97700</t>
  </si>
  <si>
    <t>18.11 звонить 19 числа 19.11 ндз 21.11 ндз 24.11 все отправил, не хочет пользоваться Докси, говорит, что не обязан, поищет реквизиты посылки</t>
  </si>
  <si>
    <t>WAR01007</t>
  </si>
  <si>
    <t>18.11 собирает из регионов</t>
  </si>
  <si>
    <t xml:space="preserve">29.01 в Докси все отправили </t>
  </si>
  <si>
    <t>YXO98645</t>
  </si>
  <si>
    <t>18.11 послушала и скинула. 03.03 если откажется разговаривать Вера сменит амдмина</t>
  </si>
  <si>
    <t>поставлен срок 1 декабря</t>
  </si>
  <si>
    <t>03,03 скинули</t>
  </si>
  <si>
    <t>ZTF75409</t>
  </si>
  <si>
    <t>17.11 ндз 19.11 сброс 20.11 не знал, что нужно отправлять каждый квартал, не знал про докси</t>
  </si>
  <si>
    <t>26.01 ндз, 27.01 ндз 02.02 ндз</t>
  </si>
  <si>
    <t>FOD90956</t>
  </si>
  <si>
    <t>18.11 вчера отправил одну посылку, собирает остаток</t>
  </si>
  <si>
    <t xml:space="preserve">03,03 скинули, 14.04 Боровиков уволился из ООО СММ сказал звонить Мочалову Дмитрию +7 (995) 881-03-44, все знает, все умеет, ждет пару доков из филалов и отправить до конца недели, отправила письмо (первое касание) на Dmitriy.Mochalov@mikrokapital.com
</t>
  </si>
  <si>
    <t>OSU76532</t>
  </si>
  <si>
    <t>не отправлял тк переживает за утечку перс данных (реквизиты паспорта в заявлении думает что кому то нужны, курьеру или почте. отправила ему инструкцию, сказал отправит</t>
  </si>
  <si>
    <t xml:space="preserve">29.01 - сказал что много дел было, обещал отправить до середины февраля </t>
  </si>
  <si>
    <t>VTC15645</t>
  </si>
  <si>
    <t>18.11 ндз 21.11 ндз 24.11 ндз; 24.11.25 Тетерин Сергей Александрович заменили на Булычев Иван Станиславович 25.11 ндз 26.11 Тетерин в админке уже не работает, спешил, сказал посмотрят и отправят, не успела сказать про расписки, написала в письме ему и Комалееву из админки</t>
  </si>
  <si>
    <t>GEV59493</t>
  </si>
  <si>
    <r>
      <rPr>
        <rFont val="Calibri"/>
        <b/>
        <i/>
        <color theme="1"/>
        <sz val="11.0"/>
      </rPr>
      <t xml:space="preserve">12.11 скинула инструкцию. Сказала ждет с филиалов доки и отправит до середины декабря. </t>
    </r>
    <r>
      <rPr>
        <rFont val="Calibri"/>
        <b/>
        <i/>
        <color rgb="FFFF0000"/>
        <sz val="11.0"/>
      </rPr>
      <t>Часть долга в упаковке и во вкладке долг за 4 кв 25</t>
    </r>
  </si>
  <si>
    <t>RBJ36128</t>
  </si>
  <si>
    <t>18.11 ндз 21.11 ндз 24.11 ндз 26.11 отправила письмо. 16.01 админ один Сорокин, пробуем ему дозвониться</t>
  </si>
  <si>
    <t>Письмо написано, Недозвон, Отреагировали на письмо</t>
  </si>
  <si>
    <t>AYX26035</t>
  </si>
  <si>
    <r>
      <rPr>
        <rFont val="Calibri"/>
        <b/>
        <i/>
        <color theme="1"/>
        <sz val="11.0"/>
      </rPr>
      <t xml:space="preserve">18.11 ндз 21.11 ндз 24.11 ндз; 24.11.25 заменили Батырев Дмитрий Николаевич на Захрямин Никита 25.11 говорит долги только по уволенным, непонятно дошло ли письмо, попросил звонить с 6-14 екб (живет в Барнауле) 26.11 попробовала повторно отправить. </t>
    </r>
    <r>
      <rPr>
        <rFont val="Calibri"/>
        <b/>
        <i/>
        <color rgb="FFFF0000"/>
        <sz val="11.0"/>
      </rPr>
      <t>Есть в исравленых и отконенных 25 год.</t>
    </r>
  </si>
  <si>
    <t>IBE93093</t>
  </si>
  <si>
    <t>Частично ликвидировали долг, Не отправили посылку</t>
  </si>
  <si>
    <r>
      <rPr>
        <rFont val="Calibri"/>
        <b/>
        <i/>
        <color theme="1"/>
        <sz val="11.0"/>
      </rPr>
      <t xml:space="preserve">18.11 сложность получить доки от филиалов, висит полсылка, то ли потерялась, то ли она забыла отправить. </t>
    </r>
    <r>
      <rPr>
        <rFont val="Calibri"/>
        <b/>
        <i/>
        <color rgb="FFFF0000"/>
        <sz val="11.0"/>
      </rPr>
      <t>В посылке был 24 год, за 25 год не отправляли доки</t>
    </r>
  </si>
  <si>
    <t xml:space="preserve">29.01 долго собирали от филиалов, собираются отправить вместе с 4 кв </t>
  </si>
  <si>
    <t>JEH12171</t>
  </si>
  <si>
    <t>выставляем претензию, КЦР заблокирован</t>
  </si>
  <si>
    <t>11.11 сказал всю информацию на почту ждет, разговаривать отказался, 12.11 КЦР заблокирован, пришло письмо от PershogubaDM@sskzvezda.ru Першогуба Дмитрия Михайловича с вопросом про перечень документов и передачу, отправили Вере. Составили письмо, спросили про действующий сертификат.27.11 отправили письмо, пришел автоответ, Першогуба в отпуске до 29.01.2026 09.12 пришло письмо от LitvinDA@sskzvezda.ru с вопросом про документы, т.к Дмитрий в отпуске</t>
  </si>
  <si>
    <t>22.01 по автоответу Першогуба в отпуске до 29.01, телефон из админки +7 (999) 059-76-71 02.02 ндз 03.02 ндз 04.02 ндз</t>
  </si>
  <si>
    <t>Недозвон, Вера свяжется сама</t>
  </si>
  <si>
    <t>22.01 по автоответу Першогуба в отпуске до 29.01, телефон из админки +7 (999) 059-76-71</t>
  </si>
  <si>
    <t>FBI85678</t>
  </si>
  <si>
    <r>
      <rPr>
        <rFont val="Calibri"/>
        <b/>
        <i/>
        <color theme="1"/>
        <sz val="11.0"/>
      </rPr>
      <t xml:space="preserve">11.11 ндз 17.11 ндз 19.11 у админа истек серт, написала письмо экспертам КЦР, Вера просит назначить с ним встречу, звонила - опять ндз 26.11 отправила письмо. </t>
    </r>
    <r>
      <rPr>
        <rFont val="Calibri"/>
        <b/>
        <i/>
        <color rgb="FFFF0000"/>
        <sz val="11.0"/>
      </rPr>
      <t>1 док за 25 в отклоненных</t>
    </r>
  </si>
  <si>
    <t>JDD79065</t>
  </si>
  <si>
    <t>сказал на неделе вышлет, спросил про уволенных сотрудников, остальное есть 19.11 Долги списали. Есть предыдущие и 4 кв 25 в долгах</t>
  </si>
  <si>
    <t>YYN08213</t>
  </si>
  <si>
    <t>Очень большой долг, КЦР заблдокирован, в целом много сертов навыпускалди, написала менеджеру, чтобы понять ситуацию. Менеджер говорит, что клиент перезаключил договор на другое ЮЛ, надо его найти. Нашли второй КЦР 2000517, который тоже в работе с января, вроде как обещали документы все вместе передать</t>
  </si>
  <si>
    <r>
      <rPr>
        <rFont val="Calibri"/>
        <b/>
        <i/>
        <color theme="1"/>
        <sz val="11.0"/>
      </rPr>
      <t xml:space="preserve">14.11 Докси не пользуется, куча ЮЛ, которые пользуются КЦР, пойдет выяснять, спросил про уволенных. </t>
    </r>
    <r>
      <rPr>
        <rFont val="Calibri"/>
        <b/>
        <i/>
        <color rgb="FFFF0000"/>
        <sz val="11.0"/>
      </rPr>
      <t xml:space="preserve">Основной долг остался </t>
    </r>
  </si>
  <si>
    <t xml:space="preserve">30.01 ндз, 02.02 - КЦР заблокированный, но дейсвтующие серты есть, долгов 300 штук но обещал отправить до конца февраля, в письмо вставила про привязку серта </t>
  </si>
  <si>
    <t>EKD75873</t>
  </si>
  <si>
    <t>18.11 ндз 21.11 думала что у нее все хорошо, очень удивилась отклоненным, отправит на след.неделе</t>
  </si>
  <si>
    <t>HUK51239</t>
  </si>
  <si>
    <t>12.11 автоответ, 17.11 сказал до конца месяца отправит, оригиналы есть</t>
  </si>
  <si>
    <t>22.01 ндз. 27,01 вообще не понимает что происходит, дал трубку глав буху, она сказала "так вам же они не нужны или все таки нужны" пообещала в итоге все отправить на след неделе</t>
  </si>
  <si>
    <t>VDL47792</t>
  </si>
  <si>
    <t>фин доставка</t>
  </si>
  <si>
    <t>Вернула посылку по Докси</t>
  </si>
  <si>
    <t>18.11 собирает, но когда я сказала про 20 шт. удивился, порекомендовала посмотреть в Докси 01.12 отправил почтой РФ</t>
  </si>
  <si>
    <t>"Да, отправили но мало"</t>
  </si>
  <si>
    <t xml:space="preserve">Нужно сообщить, что посылку от 18 ноября мы фактически не получили, писали письмо с запросом трек номера, ответа не было, 29.01 - позвонила уточнить трек-номер, обещал поискать, спросить секретарей ,выслала письмо шаблон "не помнит трек" </t>
  </si>
  <si>
    <t>Нужно сообщить, что посылку от 18 ноября мы фактически не получили, писали письмо с запросом трек номера, ответа не было</t>
  </si>
  <si>
    <t>JKV22362</t>
  </si>
  <si>
    <t>выставляем претензию КЦР заблокирован</t>
  </si>
  <si>
    <t>18.11 не знает про Докси, часть сотрудников уволилась</t>
  </si>
  <si>
    <t>26,01 сказал что передавал что-то секретарю но не может сказать отправил секретарь или нет и вообще в конце разговора сказал что больше там не работает и не является более ответственным лицом</t>
  </si>
  <si>
    <t>GNB20012</t>
  </si>
  <si>
    <t>18.11 не нам месте, передаст сотрудникам, чтобы отправили</t>
  </si>
  <si>
    <t>26,01 ндз, 02.02 сказал его не было, сегодня-завтра обещал отправить все)))</t>
  </si>
  <si>
    <t>FQW96248</t>
  </si>
  <si>
    <r>
      <rPr>
        <rFont val="Calibri"/>
        <b/>
        <i/>
        <color theme="1"/>
        <sz val="11.0"/>
      </rPr>
      <t>18.11 вроде как все знает, но удивился, когда я сказала про долги за 3 квартала. В Докси кажется вообще никогда не заходил.</t>
    </r>
    <r>
      <rPr>
        <rFont val="Calibri"/>
        <b/>
        <i/>
        <color rgb="FFFF0000"/>
        <sz val="11.0"/>
      </rPr>
      <t xml:space="preserve"> 1 док в отклоненных за 25 г</t>
    </r>
  </si>
  <si>
    <t>SFU91192</t>
  </si>
  <si>
    <t>18.11 ндз 21.11 ндз, 24.11. -ндз 27.11 письмо отправлено</t>
  </si>
  <si>
    <t>ZHI84829</t>
  </si>
  <si>
    <t>после 14-00 12.11 она админ, но не поняла меня и передала трубку IT отделу. Они попросили инструкцию на d.vorobyov@marcial.ru</t>
  </si>
  <si>
    <t>RUW60602</t>
  </si>
  <si>
    <t>18.11 делает все по старинке, как было до Докси. Сказал что все отправил, рассказала про Докси, что нужно трек номер, чтобы мы могли отследить, пошел читать как работать в Докси 26.11 2 раза просил ему позвонить, были вопросы, отправил 2 посылки, 2 дока дошлет, предложение ввести в сервисе в список курьерских компаний major express</t>
  </si>
  <si>
    <t>MYO63839</t>
  </si>
  <si>
    <t>на 12.11 долга нет</t>
  </si>
  <si>
    <t>XEQ64246</t>
  </si>
  <si>
    <t>сломался, Вернула посылку по Докси</t>
  </si>
  <si>
    <r>
      <rPr>
        <rFont val="Calibri"/>
        <b/>
        <i/>
        <color theme="1"/>
        <sz val="11.0"/>
      </rPr>
      <t xml:space="preserve">12.11 сказал вообще не в курсе как это делать, оригиналы у него на руках. Ждет инструкцию по отправке на почту. отправила. Срок он не смог сказать, сказал вначале ознакомится с инструкцией. Перезвонила, сказал что до конца ноября все отправит. Все заявления оригиналы за 2025 год у него на руках. </t>
    </r>
    <r>
      <rPr>
        <rFont val="Calibri"/>
        <b/>
        <i/>
        <color rgb="FFFF0000"/>
        <sz val="11.0"/>
      </rPr>
      <t>Фактически ничего не отправили только по докси, посылку вернула, обещал выслать</t>
    </r>
  </si>
  <si>
    <t xml:space="preserve">Нужно сообщить, что посылку от 3 декабря мы фактически не получили, писали письмо с запросом трек номера, ответа не было, поэтому считаем, что посылка фактически не была отправлена. 23.01.26 - Сказал, что отправил. Я ответила, что посылку не получили еще. Обещал узнать реквизиты посылки, попросил перезвонить в понедельник 26.01.26. 28.01.26 - по договоренности с клоиентом перезвонила. Трубку не взял. 02.02.26 - Посылка которая по Докси отправлена 03.12.25 оказывается еще находится в канцелярии у них. Обещали отправить ее и другие доки к середние  февраля. </t>
  </si>
  <si>
    <t>Нужно сообщить, что посылку от 3 декабря мы фактически не получили, писали письмо с запросом трек номера, ответа не было, поэтому считаем, что посылка фактически не была отправлена</t>
  </si>
  <si>
    <t>BFT51227</t>
  </si>
  <si>
    <t>после 14-00 12.11 звонить. 13.11 Он там не работает, дал телефон админа Даниил. 89221631350 почта admin@ros-elektro.ru</t>
  </si>
  <si>
    <t>сказал что что-то вроде читал и собирать ему много с филиалов. направила повторно письмо, договорились на середину февраля</t>
  </si>
  <si>
    <t>WZL32102</t>
  </si>
  <si>
    <t>18.11 не знала про Докси, не знала что нужно отпралять каждый квартал. Пошла читать, если что запросит консультацию эксперта. Надо завтра проверить, что письмо дошло на shilovicha@bk.ru 19.11 ндз 20.11 ндз Больше не звоним, надеемся что письмо дошло</t>
  </si>
  <si>
    <t>30.01 дослушала приветствие, после того как я озвучила тему бросила трубку 03.02 спросила в письме потправляли ли посылку</t>
  </si>
  <si>
    <t>отказ разговариватт, Письмо написано</t>
  </si>
  <si>
    <t>LDM52577</t>
  </si>
  <si>
    <r>
      <rPr>
        <rFont val="Calibri"/>
        <b/>
        <i/>
        <color theme="1"/>
        <sz val="11.0"/>
      </rPr>
      <t xml:space="preserve">18.11 ндз 21.11 ндз 24.11 ндз; 24.11.25 заменили Маклаков Михаил Евгеньевич
 на Кобляков Антон Николаевич 25.11 Брусенский Иван Александрович +7 (916) 283-25-96 Ничего не знают, оригиналов нет, сейчас будет все восстанавливать, хочет контакты на всякий случай, кому можно позвонить и все спросить еще раз, письмо на admin@gsp-r.ru 26.11 Проблема с доставкой письма, отложена, продублировала на i.brusenskiy@gsp-r.ru. </t>
    </r>
    <r>
      <rPr>
        <rFont val="Calibri"/>
        <b/>
        <i/>
        <color rgb="FFFF0000"/>
        <sz val="11.0"/>
      </rPr>
      <t xml:space="preserve">Много отклоненных, не весь 25 выслали но уже начали отсылать 26 год. </t>
    </r>
    <r>
      <rPr>
        <rFont val="Calibri"/>
        <b/>
        <i/>
        <color theme="1"/>
        <sz val="11.0"/>
      </rPr>
      <t>30.01 сложно собирать с филиалов, посылки уже в докси сформировал, есть уволенные сотрудники, сказал отправит в ближайшее время</t>
    </r>
  </si>
  <si>
    <t>Напомнить про 4 кв, "Да, отправили но мало", "Да,звоним в апреле", Напомнить про 1 кв</t>
  </si>
  <si>
    <t xml:space="preserve">07.05. - ндз , 08.05 - сложно собирать с регионов, но очень постарается успеть до 30.05, если будет не успевать напишет ответным письмом, много уволенных сотрудников, будет высылать нам список , письмо попросил выслать на BrusenskiyIA@gsp-r.ru;
</t>
  </si>
  <si>
    <t>GEQ34401</t>
  </si>
  <si>
    <t>больше там не работает 12.11. Второго админа нет 19.11.25 Вера написала координтору. 16.01: Вера обновила админа на Хунай-Оол Кежик Борисович</t>
  </si>
  <si>
    <t>26.01 - ничего не знает, только что стал админом, в ноябре этому админу не звонили , написала ему письмо по первому касанию (admin@lukomzs.ru), в процессе звонка обговорили срок конец февраля, но он вообще ничего не знает, скорее всего ничего не отправит</t>
  </si>
  <si>
    <t>EQE81625</t>
  </si>
  <si>
    <t>Зайдем через менеджера, Частично ликвидировали долг</t>
  </si>
  <si>
    <t>18.11 ндз 21.11 ндз 24.11 ндз; 24.11.25 заменили Сушкову на Митронина Виктория Игоревна, перезвонить 16.00 екб  25.11 все отправит</t>
  </si>
  <si>
    <t>RWY40976</t>
  </si>
  <si>
    <t>12.11 ндз, перезвонить 20 ноября 20.11 посмотрел в Докси, сказал, что начнет собирать, попросил перезвонить, чтобы уточнить сроки еще раз, письмо отправила с датой 26.11 - перезвонила, ндз, дата уже назначена, поэтому больше перезванивать не буду</t>
  </si>
  <si>
    <t xml:space="preserve">07.05 - ндз , 08.05 - ндз, 12.05 - ндз </t>
  </si>
  <si>
    <t>USM70762</t>
  </si>
  <si>
    <t xml:space="preserve">12.11 ндз, попросил инструкцию тк не знает как отправить, все оригиналы на руках. </t>
  </si>
  <si>
    <t xml:space="preserve">26.01 - постарается отправить все в течении февраля </t>
  </si>
  <si>
    <t>HPM98946</t>
  </si>
  <si>
    <t>выставляем претензию Уфа</t>
  </si>
  <si>
    <t>18.11 ндз 21.11 ндз 24.11 ндз; 24.11.25 заменили Юртаев Михаил Васильевич на Кирюхин Максим, 25.11 - ндз  26.11 ндз 27.11 ндз письмо</t>
  </si>
  <si>
    <t>06.02 - Кирюхин М. сказал звонить Юртаеву М. +7 (988) 629-63-94  обещал все оправить до конца февраля, письмо отправила на urtaev1993@gmail.com</t>
  </si>
  <si>
    <t>EVD63001</t>
  </si>
  <si>
    <r>
      <rPr>
        <rFont val="Calibri"/>
        <b/>
        <i/>
        <color theme="1"/>
        <sz val="11.0"/>
      </rPr>
      <t xml:space="preserve">18.11 ндз 21.11 ндз 24.11 ндз 27.11 письмо отправлено. </t>
    </r>
    <r>
      <rPr>
        <rFont val="Calibri"/>
        <b/>
        <i/>
        <color rgb="FFFF0000"/>
        <sz val="11.0"/>
      </rPr>
      <t>Не высылают листы ознакомления</t>
    </r>
  </si>
  <si>
    <t xml:space="preserve">Нужно сообщить про листы ознакомления, 14.04 - ндз, 17.04 - ндз , 21.04 - ндз </t>
  </si>
  <si>
    <t>JPF28849</t>
  </si>
  <si>
    <t>19.11 ндз 21.11 ндз 24.11 ндз; 24.11.25 заменили Андреева Ирина Петровна на Мильто Юлия Николаевна, 25.11 - ндз  26.11 ндз 27.11 ндз письмо; 6.02 Вера заменила Мильто на Олейникова</t>
  </si>
  <si>
    <t xml:space="preserve">06.02. - ндз, 09.02 - ндз </t>
  </si>
  <si>
    <t>Недозвон 1-2 раз</t>
  </si>
  <si>
    <t>WRW22372</t>
  </si>
  <si>
    <t>19.11 не в курсе, передаст инфу своему сотруднику, отправила инструкцию  20.11 ндз 21.11 ндз 24.11 ндз 27.11 письмо отправлено. 06.02 Вера заменила админа на Коржову Ольгу</t>
  </si>
  <si>
    <t xml:space="preserve">06.02 - ндз, 09.02 - обещала все отпраквить </t>
  </si>
  <si>
    <t>WSR43135</t>
  </si>
  <si>
    <t>Новичок</t>
  </si>
  <si>
    <t>19.11 Все отправляют, но про Докси не знали</t>
  </si>
  <si>
    <t>QOE44766</t>
  </si>
  <si>
    <t>19.11 ндз 21.11 ндз, 24.11. - ндз 27.11 письмо отправлено; 16.01 админ одини Копущу, пробуем дозвониться ей</t>
  </si>
  <si>
    <t>22,01 автоответчик. 23,01 написала письмо повторно</t>
  </si>
  <si>
    <t>KDO42868</t>
  </si>
  <si>
    <t>заблокирован, выставляем претегзию</t>
  </si>
  <si>
    <t>12.11 Он не совсем понял что от него требуется, за 3 квартал они вообще ничего не выпускали. Сказала что у них за 1 и 2 квартал долго и инструкцию отправила ему на эл. почту 17.11 перезвонить в 12 19 екб, перезвонили-скинул 19.11 ндз, 20.11 ничего давно уже не выпускают, сказал в ближайшее время отправит. написала письмо что ждем до конца ноября.</t>
  </si>
  <si>
    <t>26.01 - КЦР заблокирован, не ответил 02.02 ндз 03.02 ндз</t>
  </si>
  <si>
    <t>AEW23789</t>
  </si>
  <si>
    <r>
      <rPr>
        <rFont val="Calibri"/>
        <b/>
        <i/>
        <color theme="1"/>
        <sz val="11.0"/>
      </rPr>
      <t xml:space="preserve">19.11 в командировке, говорит, что это уволенные в долге висят, неоднократно задвал вопросы что в таком случае делать, не получал ответ. на 28.11. виджета на списание долгов не было (крис). </t>
    </r>
    <r>
      <rPr>
        <rFont val="Calibri"/>
        <b/>
        <i/>
        <color rgb="FFFF0000"/>
        <sz val="11.0"/>
      </rPr>
      <t>Одна расиска в отклоненных за 26 г. за 25 год долг ликвидировали</t>
    </r>
  </si>
  <si>
    <t>утверждает, что долг - уволенные</t>
  </si>
  <si>
    <t>30.01 долго нет, посылка отправлена и получена</t>
  </si>
  <si>
    <t>BAC18765</t>
  </si>
  <si>
    <t>Все предоставлено в копии, выставляем претензию</t>
  </si>
  <si>
    <t>14.11 сказал знает, отправит.</t>
  </si>
  <si>
    <t>30.01 ндз 03.02 ндз. 04.02.26 - ндз. Письмо отправила</t>
  </si>
  <si>
    <t>FSI83527</t>
  </si>
  <si>
    <t xml:space="preserve">19.11 крайне негативно настроен, сказал вообще нет желания с нами работать. не понимает зачем нам нужны их документы, сказал будет где то вручную выпускать </t>
  </si>
  <si>
    <t xml:space="preserve">30.01 Заблокирован, попросил перезвонить позже, попробуем в 15 екб, ндз, 03.02 - заблокированный ничего не хочет делать </t>
  </si>
  <si>
    <t>QGE15863</t>
  </si>
  <si>
    <t>19.11 сказал отправит сегодня. говорит раньше приходило уведомление о том что нужно отправить а сейчас не приходит поэтому забыл про это</t>
  </si>
  <si>
    <t>HED72272</t>
  </si>
  <si>
    <t>19.11 телефон выключен, 21.11 выключен 24.11 ФИО не его указано, не знает как оформить опись</t>
  </si>
  <si>
    <t>ARS57286</t>
  </si>
  <si>
    <r>
      <rPr>
        <rFont val="Calibri"/>
        <b/>
        <i/>
        <color theme="1"/>
        <sz val="11.0"/>
      </rPr>
      <t xml:space="preserve">19.11 ндз, 21.11 скинула 24.11 ндз 27.11 письмо отправлено. 16.01 админ один Полякова, пробуем ей дозвониться. </t>
    </r>
    <r>
      <rPr>
        <rFont val="Calibri"/>
        <b/>
        <i/>
        <color rgb="FFFF0000"/>
        <sz val="11.0"/>
      </rPr>
      <t>3 заявления пришло из всего долга за 20205 год без описи</t>
    </r>
  </si>
  <si>
    <t>22.01 сказала что они "что-то отправляли" но конкретно уже не помнит. направила ей письмо</t>
  </si>
  <si>
    <t>MFI18757</t>
  </si>
  <si>
    <t>КЦР заблокирован, написала менеджеру</t>
  </si>
  <si>
    <t>19.11 несколько КЦр - 1003311, 1005688, мы уже ему звонили по другим, собирает оставшиеся, письмо в 3-й раз писать не стала</t>
  </si>
  <si>
    <t xml:space="preserve">30.01 - КЦР заблокирован, в отпуске до 8, попросил перезвонить 9., 09.02 ндз Боровиков админ еще в двух КЦР, этот КЦР у него заблокированный, в долгах у него одно  заявление  </t>
  </si>
  <si>
    <t>AFX36388</t>
  </si>
  <si>
    <t>19.11 это бухгалтерия, сами не понимают кто и за что у них отвечает, скажут владельцу серта что она должна отправить заявление. Валеева кажется никто не знает.</t>
  </si>
  <si>
    <t>30.01 КЦР заблокирова, общалась с бухгалтерией, вообще ниче не понимают, рассказала про заявление, сотрудник уже уволен, написала в письме как списать задолженность. Сроков не утвердили</t>
  </si>
  <si>
    <t>Прошел второй звонок, Админ не админ</t>
  </si>
  <si>
    <t>NTJ48300</t>
  </si>
  <si>
    <t>19.11 ничего не знает, сейчас пойдет разбираться с Докси как все отправлять</t>
  </si>
  <si>
    <t xml:space="preserve">30.01. - обещала в понедельник все выслать </t>
  </si>
  <si>
    <t>PNL32966</t>
  </si>
  <si>
    <t>19.11 ндз , 21.11 ндз</t>
  </si>
  <si>
    <t>03,03 ндз</t>
  </si>
  <si>
    <t>HPA51229</t>
  </si>
  <si>
    <t>17.11 Грузных Алексей Викторович, тех. специалист, не нашел в КЦР кнопку, как перейти в Докси, 13 34 екб перезвон, оригинала нет, спросил что делать, куда нужно отправить</t>
  </si>
  <si>
    <t>DRI66328</t>
  </si>
  <si>
    <r>
      <rPr>
        <rFont val="Calibri"/>
        <b/>
        <i/>
        <color theme="1"/>
        <sz val="11.0"/>
      </rPr>
      <t xml:space="preserve">13.11 ндз, 17.11 ндз, 19.11 письмо отправила, будет с докси разбираться смотреть как работать. </t>
    </r>
    <r>
      <rPr>
        <rFont val="Calibri"/>
        <b/>
        <i/>
        <color rgb="FFFF0000"/>
        <sz val="11.0"/>
      </rPr>
      <t>Шлют копии документов</t>
    </r>
  </si>
  <si>
    <t xml:space="preserve">23.01.26 Обратила его внимание на заявления во вкладки в Докси Отклоненные. Обещал выслать на след неделе ср, чт. </t>
  </si>
  <si>
    <t>UKT89337</t>
  </si>
  <si>
    <t>Сложили в упавковку и не отправили, шлют без описи</t>
  </si>
  <si>
    <t>PKY00512</t>
  </si>
  <si>
    <r>
      <rPr>
        <rFont val="Calibri"/>
        <b/>
        <i/>
        <color theme="1"/>
        <sz val="11.0"/>
      </rPr>
      <t xml:space="preserve">19.11 Думали Докси - это платная услуга, отправили посылку в начале ноября, договорилась, чтобы они мониторили долг в Докси и если он не пропадет к середине декабря переотправят. </t>
    </r>
    <r>
      <rPr>
        <rFont val="Calibri"/>
        <b/>
        <i/>
        <color rgb="FFFF0000"/>
        <sz val="11.0"/>
      </rPr>
      <t>Сложили в упавковку и не отправили, шлют без описи</t>
    </r>
  </si>
  <si>
    <t>KBS33842</t>
  </si>
  <si>
    <t>19.11 ждет еще 2 заявления и отправит, про Докси знает</t>
  </si>
  <si>
    <t>30.01 сказал что проходит какое то там согласование и отправит на след неделе все</t>
  </si>
  <si>
    <t>XKU85441</t>
  </si>
  <si>
    <t>19.11 уже там не работает, it - 79995209332 Вантеев Евгений Сергеевич, что каждвый квартал не знал, про Докси ничего не знал, письмо на e.vanteev@atribeautemed.ru Сейчас в отпуске</t>
  </si>
  <si>
    <t>VSL82082</t>
  </si>
  <si>
    <t>17.11 ндз, 19.11 ндз, 20.11 ндз; 24.11.25 заменили Баяндина Наталья Сергеевна на Контонистов Кирилл Алексеевич 25.11 ндз 26.11 молча послушал приветствие и сбросил звонок 27.11 отправила письмо</t>
  </si>
  <si>
    <t>26.01 - ндз , 27.01 ндз 02.02 ндз согласно автоответу оказался в отпуске до 06.02</t>
  </si>
  <si>
    <t>RVR60836</t>
  </si>
  <si>
    <t>КЦР заблокирован, поставка еще дейсвует, по соглаосванию с менеджером выставляем претензию</t>
  </si>
  <si>
    <t>19.11 что каждый квартал не знал, про Докси не знал</t>
  </si>
  <si>
    <t>30.01 КЦР заблокирован, продлять не будут, Краев - нет оригинала, выгружу, Кольцов не работает,</t>
  </si>
  <si>
    <t>GFU50658</t>
  </si>
  <si>
    <t>КЦР заблокирован, уточнила у менеджера</t>
  </si>
  <si>
    <t>19.11 не понимает как все отправлять, хочет инструкцию</t>
  </si>
  <si>
    <t>30.01 - ндз 03.02 ндз. 04.02.26 - ндз.</t>
  </si>
  <si>
    <t>PES50161</t>
  </si>
  <si>
    <t>17.11 ндз 19.11 ндз, 20.11 ндз 27.11 письмо отправлено. 16.01: КЦР заблокирован, поэтому передаю сразу в ООД</t>
  </si>
  <si>
    <t>RWX96018</t>
  </si>
  <si>
    <t>17.11 ндз, 19.11 сказал все отправит скоро</t>
  </si>
  <si>
    <t>26.01 говорит что отправляли, послал ко второму админу из админки +7 (912) 256-53-03 Евгений, он все отправлял 02.02 говорит, что отправлял, данные посылки надо поискать</t>
  </si>
  <si>
    <t>OCG40088</t>
  </si>
  <si>
    <t>19.11все знает, отправляет, долг закроет к концу недели</t>
  </si>
  <si>
    <t>BJZ30176</t>
  </si>
  <si>
    <t>19.11 ндз, 21.11 ндз 24.11 у них 2 КЦР, никто не мог сказать им нужно ли отправлять доки</t>
  </si>
  <si>
    <t>SDC88904</t>
  </si>
  <si>
    <t>13.11 по админке это Маннанов Артем Андреевич, перезвон в 14</t>
  </si>
  <si>
    <t>ABR10765</t>
  </si>
  <si>
    <t>Заблокирован, выставляем претензию</t>
  </si>
  <si>
    <t>забыл что надо отправлять. до конца недели пообещал отправить. 17.11</t>
  </si>
  <si>
    <t>26.01 не успели, постараются в январе, про Докси не знал, рассказала</t>
  </si>
  <si>
    <t>MHJ45868</t>
  </si>
  <si>
    <t>13.11 все отправляли, пойдет к делопроизводителю уточнять, попросил перезвонить 13 10 екб. Про Докси судя по всему не знал. Создавать нам в Докси электронную посылку у него нет времени. Сказал произошла заминка, только отправили, к концу ноября должны дойти</t>
  </si>
  <si>
    <t>BGT02513</t>
  </si>
  <si>
    <t>19.11 забыли отправить, про Докси не знал</t>
  </si>
  <si>
    <t>30,01 ндз. 02.02. сказал что отправлял почтой россии свои 2 заявления еще в 25 году в наш питерский офис, удивился что это неправильно. обещал переподписать 2 заявления и отправить на нужный адрес</t>
  </si>
  <si>
    <t>BXV07296</t>
  </si>
  <si>
    <r>
      <rPr>
        <rFont val="Calibri"/>
        <b/>
        <i/>
        <color theme="1"/>
        <sz val="11.0"/>
      </rPr>
      <t xml:space="preserve">19.11 не работают в Докси, говорил, что все отправил, хочет у себя проверить, отправила инструкцию 24.11 зашли вместе еще раз в ДОКСИ, спросил что делать если доки не дошли. </t>
    </r>
    <r>
      <rPr>
        <rFont val="Calibri"/>
        <b/>
        <i/>
        <color rgb="FFFF0000"/>
        <sz val="11.0"/>
      </rPr>
      <t>1 док за 25 в отклоненных</t>
    </r>
  </si>
  <si>
    <t>VAC00050</t>
  </si>
  <si>
    <r>
      <rPr>
        <rFont val="Calibri"/>
        <b/>
        <i/>
        <color theme="1"/>
        <sz val="11.0"/>
      </rPr>
      <t xml:space="preserve">20/11 ндз, 21.11 сказал на след неделе отправит. </t>
    </r>
    <r>
      <rPr>
        <rFont val="Calibri"/>
        <b/>
        <i/>
        <color rgb="FFFF0000"/>
        <sz val="11.0"/>
      </rPr>
      <t>В долге 1 док за 2025 г</t>
    </r>
  </si>
  <si>
    <t>YPR61248</t>
  </si>
  <si>
    <r>
      <rPr>
        <rFont val="Calibri"/>
        <b/>
        <i/>
        <color theme="1"/>
        <sz val="11.0"/>
      </rPr>
      <t xml:space="preserve">20.11 ндз, 21.11 ндз 24.11 ндз 27.11 письмо отправлено. 16.01: админ один Кузнецов, пробуем дозвониться ему. 06.02 Вера написала письмо в 0500, клиент закреплен за ними. На 12.02 была назначена встреча, клиент на неё не пришел. Апнула переписку. </t>
    </r>
    <r>
      <rPr>
        <rFont val="Calibri"/>
        <b/>
        <i/>
        <color rgb="FFFF0000"/>
        <sz val="11.0"/>
      </rPr>
      <t>1 док в долге за 25 г</t>
    </r>
  </si>
  <si>
    <t>23,01 ндз, написала письмо</t>
  </si>
  <si>
    <t>XAF53915</t>
  </si>
  <si>
    <t>20.11 ндз, 21.11 ндз 24.11 ндз 27.11 письмо отправлено</t>
  </si>
  <si>
    <t>WDF90715</t>
  </si>
  <si>
    <t>Выпускают серты в КЦР 1002189</t>
  </si>
  <si>
    <t>14.11 , 19.11 ндз, 20.11 ндз 27.11 письмо отправила. 16.01: Один админ, других нет Белонина Мария Игоревна, пробуем звонить им</t>
  </si>
  <si>
    <t>23,01 ндз. написала еще раз</t>
  </si>
  <si>
    <t>RBO82028</t>
  </si>
  <si>
    <t>20.11 занят сказал перезвонить позже, после 14-- екб, сказал, что передадут чуть позже, ждите и отключился</t>
  </si>
  <si>
    <t>написала 4.12.2025</t>
  </si>
  <si>
    <t>30.01. - ндз 03.02 ндз. 04.02.26 - ндз.</t>
  </si>
  <si>
    <t>XXD78058</t>
  </si>
  <si>
    <r>
      <rPr>
        <rFont val="Calibri"/>
        <b/>
        <i/>
        <color theme="1"/>
        <sz val="11.0"/>
      </rPr>
      <t xml:space="preserve">20.11 ндз 21.11 ндз 24.11 ндз 27.11 письмо отправлено; 16.01 админ один Бумашкина, пробуем дозвониться ей. </t>
    </r>
    <r>
      <rPr>
        <rFont val="Calibri"/>
        <b/>
        <i/>
        <color rgb="FFFF0000"/>
        <sz val="11.0"/>
      </rPr>
      <t>Шлют без описи</t>
    </r>
  </si>
  <si>
    <t xml:space="preserve">23,01. Сказала что якобы летом отправляла почтой россии и трека у нее нет. Вроде бы согласилась переподписать и отправить его повторно. всю инфу на почту ей направила. очень негативная </t>
  </si>
  <si>
    <t>PVT85113</t>
  </si>
  <si>
    <r>
      <rPr>
        <rFont val="Calibri"/>
        <b/>
        <i/>
        <color theme="1"/>
        <sz val="11.0"/>
      </rPr>
      <t xml:space="preserve">на 20.11 нет долгов. </t>
    </r>
    <r>
      <rPr>
        <rFont val="Calibri"/>
        <b/>
        <i/>
        <color rgb="FFFF0000"/>
        <sz val="11.0"/>
      </rPr>
      <t>Шлют без описи</t>
    </r>
  </si>
  <si>
    <t>WVN73424</t>
  </si>
  <si>
    <t>ОСИС</t>
  </si>
  <si>
    <t>17.11 все знают</t>
  </si>
  <si>
    <t>RPD84344</t>
  </si>
  <si>
    <t>20.11 это не Миллита и не администратор и больше там не работает, даже не может подсказать к кому там обратиться можно. 24.11.25 Вера заменила Келлер на Грабельников Гордей 25.11 ничего не знают, пойдут сейчас читать и смотреть что такое Докси</t>
  </si>
  <si>
    <t>30.01 КЦР зблокирован, вроде собираются продлятся, Каштан уволилась, Михальский нет оригинала, выслала ссылку на форму и шаблон заявления</t>
  </si>
  <si>
    <t>IFW28034</t>
  </si>
  <si>
    <t>13.11 ндз, 17.11 автоответчик 19.11 переводит на автоответчик; 24.11.25 заменили Гомбоев Игорь Александрович
 на Цыбенов Эрдэм 25.11 отправят на след. неделе, про расписки не знали, сообщила</t>
  </si>
  <si>
    <t>SYE80811</t>
  </si>
  <si>
    <t xml:space="preserve">14.11 думал что мы будем требовать документы только после Нового года, рассказала про Докси, пошел смотреть </t>
  </si>
  <si>
    <t>UXP64741</t>
  </si>
  <si>
    <t>20.11 не знад про Докси, не понимает как отправлять, попросил неделю чтобы обозначит сроки, отправила инструкцию 27.11 отпрвит, рассказала, что нужно делать электронную опись, сказал, что ему нужно избавиться на работе от этой задачи, чтобы всем этим не заниматься</t>
  </si>
  <si>
    <t xml:space="preserve">30.01 - у них курьер заболел, обещал отправить во вторник </t>
  </si>
  <si>
    <t>ZJQ19200</t>
  </si>
  <si>
    <r>
      <rPr>
        <rFont val="Calibri"/>
        <b/>
        <i/>
        <color theme="1"/>
        <sz val="11.0"/>
      </rPr>
      <t xml:space="preserve">17.11 не знали, что что-то нужно передавать, попросили инсрукции и перезвонить, ответил мужчина, не успела спросить имя Письмо с инструкцией отправила на fds19@rambler.ru 18.11 куча работы, не все на руках, постарается. </t>
    </r>
    <r>
      <rPr>
        <rFont val="Calibri"/>
        <b/>
        <i/>
        <color rgb="FFFF0000"/>
        <sz val="11.0"/>
      </rPr>
      <t xml:space="preserve">Шлют без описи </t>
    </r>
  </si>
  <si>
    <t xml:space="preserve">26.01 - прям завтра все отправит, и опять забыла спросить как его зовут </t>
  </si>
  <si>
    <t>PMN47784</t>
  </si>
  <si>
    <t>20.11 знает что просрочили, собирает, о Докси ничего не знал</t>
  </si>
  <si>
    <t>30,01 сказал звонить в понедельник в рабочее время/ 02.02 скинул звонок 03,02 ндз</t>
  </si>
  <si>
    <t>GYY30724</t>
  </si>
  <si>
    <t>20.11 ндз, 21.11 скинул как взял трубку 24.11 ндз; 24.11.25 заменили Зубайраев Магомед Исаевич на Темирсултанов Адам, 25.11 -ндз 26.11. - ндз  27.11 знает про долг, была проверка в организации, не было времени, отправит, не знал про Докси, зашли вместе</t>
  </si>
  <si>
    <t>OLG45998</t>
  </si>
  <si>
    <t>20.11 очень торопился сказал на следующей неделе все отправит нам 01.12 пришло письмо, передал заявление в бухгалтерию, но его не отправили, завтра отправит.</t>
  </si>
  <si>
    <t>AMJ20794</t>
  </si>
  <si>
    <t>будем выставлять претензию сразу</t>
  </si>
  <si>
    <t>Мало отправили, Есть претензия</t>
  </si>
  <si>
    <t>20.11 очень занята была, сделает</t>
  </si>
  <si>
    <t xml:space="preserve">30.01 - обещала выслать до конца февраля </t>
  </si>
  <si>
    <t>EYC03971</t>
  </si>
  <si>
    <t>КЦР заблокирован, написала менеджеру, посмотрим что ответит</t>
  </si>
  <si>
    <t>14.11 после 17ч звонить ей, занята, ндз, 19.11 не знала что надо отправлять. скинула ей инструкцию</t>
  </si>
  <si>
    <t>30.01 ндз 03.02 ндз, 04.02 ндз</t>
  </si>
  <si>
    <t>EGN36371</t>
  </si>
  <si>
    <t>20.11 сказал этим занимается Екатерина 89037191866 ekaterina.shulgina@systeme.ru</t>
  </si>
  <si>
    <t>KYU14330</t>
  </si>
  <si>
    <t>на 19.11 долга нет</t>
  </si>
  <si>
    <t>QMO59499</t>
  </si>
  <si>
    <r>
      <rPr>
        <rFont val="Calibri"/>
        <b/>
        <i/>
        <color theme="1"/>
        <sz val="11.0"/>
      </rPr>
      <t xml:space="preserve">11.11 сказала про отклоненные, у них был форс-мажор, обещал все выслать </t>
    </r>
    <r>
      <rPr>
        <rFont val="Calibri"/>
        <b/>
        <i/>
        <color rgb="FFFF0000"/>
        <sz val="11.0"/>
      </rPr>
      <t>2 документа в отклоненных</t>
    </r>
  </si>
  <si>
    <t>LRW27900</t>
  </si>
  <si>
    <t>19.11 ждет от сложных сотрудников оригиналы(они находятся далеко) и все отправит со след. посылкой.</t>
  </si>
  <si>
    <t>30,01 сказала в следующей отправке пришлет долг, она сама ждет их из регионов</t>
  </si>
  <si>
    <t>BWU52476</t>
  </si>
  <si>
    <t>20.11 сказал в конце ноября сможет отправить, информация есть что надо передавать доки</t>
  </si>
  <si>
    <t>30.01. сказал в начале февраля вышлет</t>
  </si>
  <si>
    <t>VBH96635</t>
  </si>
  <si>
    <r>
      <rPr>
        <rFont val="Calibri"/>
        <b/>
        <i/>
        <color theme="1"/>
        <sz val="11.0"/>
      </rPr>
      <t xml:space="preserve">20/11 сотрудник выйдет из отпуска и решат с документами, сказал до середины декабря отправят. </t>
    </r>
    <r>
      <rPr>
        <rFont val="Calibri"/>
        <b/>
        <i/>
        <color rgb="FFFF0000"/>
        <sz val="11.0"/>
      </rPr>
      <t xml:space="preserve">Есть док в отклоненных </t>
    </r>
  </si>
  <si>
    <t>THE44773</t>
  </si>
  <si>
    <t>после 15-00 звонить 17.11 ндз 19.11 отправил к главному бухгалтеру - Ксения Викторовна 79028022060 ндз 20.11 ндз 21.11 на совещании перезвон в 17 27 екб. Предыдущий админ уволился, новый только сегодня получил задачу. Ксения Викторовна побещала все всем переслать, отправила письмо на k.soboleva1977@gmail.com</t>
  </si>
  <si>
    <t>26.01 не получила письмо в ноябре, отправила повторно на k.soboleva1977@yandex.ru 02.02 перезвонить позже, 14 екб ндз 03.02 доки собирает не она, сказала писать на почту, они скинет контакты</t>
  </si>
  <si>
    <t>JBO80416</t>
  </si>
  <si>
    <t>20.11 ндз, 21.11 сказала вообще не в курсе как с нами работать, ничего не хранит, будет восстанавливать</t>
  </si>
  <si>
    <t>PVT32334</t>
  </si>
  <si>
    <t>20.11 скинул, 21.11 выключен 24.11 ждал последний документ</t>
  </si>
  <si>
    <t>FCW34644</t>
  </si>
  <si>
    <t>20.11 его менеджер сказал что докси вообще для его удобства просто, и он им пользоваться не хочет но почитает про него. срок сказала ему до середины декабря. говорит вам же на а/я все доходит и хорошо) перезвонить около 15-00 екб 24.11 связался с сотрудником, запросил еще раз</t>
  </si>
  <si>
    <t>JFD76450</t>
  </si>
  <si>
    <t>20.11 не знала, что нужно отправлять каждый квартал</t>
  </si>
  <si>
    <t>27.01. - ндз 03.02 ндз. 04.02.26 - сказала, что в прошлый разсначала забыла отправить, а потом забила. Попросила повторно отправить письмо с инструкцией куда отправлять. Обговорили крайний срок середина февраля. Письмо отправила.</t>
  </si>
  <si>
    <t>ZCN33847</t>
  </si>
  <si>
    <t>20.11 что каждый квартал не знал, про Докси не знал, Дев Аравинд Нирмал 79685300235 nirmal.dev@celt.ru</t>
  </si>
  <si>
    <t>27.01. - отклонил вызов, 03.02 отклонил вызов, 04.02 автоответчик</t>
  </si>
  <si>
    <t>UEC26688</t>
  </si>
  <si>
    <t>14.11 ндз, 17.11 скинул 19.11 ндз, но в Докси вижу, что 12.11 он создал посылку; 24.11.25 заменили Игенов Ренат Витальевич на Охрименко Оксана Владимировна 25.11 ндз 26.11 ндз 27.11 ндз письмо 28.11 не отвечает на незнакомые номера, предыдущий админ уволился, она в должности с 10.11, все сделает</t>
  </si>
  <si>
    <t>DFQ97448</t>
  </si>
  <si>
    <t>20.11 не антон, сейчас в командировке, не знал про Докси, отправит</t>
  </si>
  <si>
    <t>27.01. - в первый раз как будто бы не слышал , когда перезвонила трубку не взял , 03.02 - этот номер не Антона какой-то Виталик дал номер Антона 9898074827 anton.garmash@tm-yug.ru, но он трубку не взял, 04.02. - ндз  05.02 ндз</t>
  </si>
  <si>
    <t>PTR86492</t>
  </si>
  <si>
    <t>14.11 ндз, 17.11 ндз, 18.11 занят сказал звоните завтра 19.11 ндз 27.11 отправила письмо 16.01 админ один Моргунов, пробуем дозвониться до него</t>
  </si>
  <si>
    <t xml:space="preserve">23.01.26 - Сказал перезвонить через час, пока не может разговривать. Посылка лежит наготове к отправке, по его словам. Обещал выслать на след. неделе. до конца января. </t>
  </si>
  <si>
    <t>TYD58534</t>
  </si>
  <si>
    <r>
      <rPr>
        <rFont val="Calibri"/>
        <b/>
        <i/>
        <color theme="1"/>
        <sz val="11.0"/>
      </rPr>
      <t xml:space="preserve">20.11 мужик вообще плохо разбирается в инструкциях, как работать в программах и т.д. По голосу как будто уже в пожилом возрасте. Относит все секретарям. Объяснила почему нужно в Докси, сказал попробует разобраться. </t>
    </r>
    <r>
      <rPr>
        <rFont val="Calibri"/>
        <b/>
        <i/>
        <color rgb="FFFF0000"/>
        <sz val="11.0"/>
      </rPr>
      <t>Шлют без описи</t>
    </r>
  </si>
  <si>
    <t xml:space="preserve">27.01. - ндз, судя по переписке он запутался , в способах отправки и не знал куда отправлять оригиналы, 30.01 - админ вышел на пенсию, дал городской номер 8(473)261-92-64 попросить Орищенко Надежду Петровну, продублировала ей все по первому касанию </t>
  </si>
  <si>
    <t>Админ не админ, Прошел второй звонок</t>
  </si>
  <si>
    <t>CBA27070</t>
  </si>
  <si>
    <t>14.11 это телефон генерального директора, нужен главный бухгалтер Анна Ивановна 73847522819, anzupova2011@yandex.ru, думала, что скана в форме достаточно, про Докси ничего не знала, попросила инструкции</t>
  </si>
  <si>
    <t>YER69797</t>
  </si>
  <si>
    <t>20.11 ндз 21.11 молча послушала и бросила, отправила письмо</t>
  </si>
  <si>
    <t>указала ей 5.12.2025</t>
  </si>
  <si>
    <t xml:space="preserve">был отказ в первом звонке </t>
  </si>
  <si>
    <t>AAQ97201</t>
  </si>
  <si>
    <t>20.11 нужна Смрнова Мария Сергеевна  +7 (966) 131-29-79  mssmirnova@sigma-it.ru, про Докси знает, попросила делать опись. Админ еще в двух кцр 2000183, 2000184 (Крис) доки отправляет без описи смешанно</t>
  </si>
  <si>
    <t>SVN96008</t>
  </si>
  <si>
    <t xml:space="preserve">20.11 не ее номер, ее - 89253669002 ндз, 21.11 сказала не знала , но отправит до конца след недели, </t>
  </si>
  <si>
    <t xml:space="preserve">по этому номеру 89253669002  сказала что с Контуром больше не работает </t>
  </si>
  <si>
    <t>KXU77243</t>
  </si>
  <si>
    <t>20.11 перезвон в 15 36 екб, она в процессе, завтра отправит</t>
  </si>
  <si>
    <t>EEM34772</t>
  </si>
  <si>
    <t>20.11 ндз 21.11 распределенная компания, в процессе сбора, по одному оригинала нет</t>
  </si>
  <si>
    <t>27.01 - в докси посылка отправлена от 19.01.</t>
  </si>
  <si>
    <t>KBY37343</t>
  </si>
  <si>
    <t>13.11 посылку физически отправил, попросила отправить в системе, не может найти трек номер в квитанции, уточнит у курьера сам</t>
  </si>
  <si>
    <t xml:space="preserve">07.05 - посылка отправлена </t>
  </si>
  <si>
    <t>KVB86457</t>
  </si>
  <si>
    <t>Самостоятельно ликвидировали долг</t>
  </si>
  <si>
    <t>20.11 в Докси посылка отправлена 10.11</t>
  </si>
  <si>
    <t>AHO59138</t>
  </si>
  <si>
    <t>20.11 звонили в КЦР 2000269</t>
  </si>
  <si>
    <t>уже звонили по другому КЦР</t>
  </si>
  <si>
    <t>QNX78742</t>
  </si>
  <si>
    <t>17.11 ндз, 18.11 ндз 19.11 ндз 27.11 письмо отправлено; 16.01 админ один Краснов, пробуем дозвониться ему</t>
  </si>
  <si>
    <t>23,01 сказал что стопка лежит, отправит на следующей неделе. письмо написала</t>
  </si>
  <si>
    <t>JKT40281</t>
  </si>
  <si>
    <t>20.11 не знал что нужно отправлять</t>
  </si>
  <si>
    <t xml:space="preserve">27.07. -сказал отправит на неделе </t>
  </si>
  <si>
    <t>UOV30312</t>
  </si>
  <si>
    <t>20.11 ндз, 21.11 ндз 24.11 ндз 27.11 письмо отправлено; 16.01: админ один Клименко, пробуем дозвониться ему</t>
  </si>
  <si>
    <t>Клиент обратился через менеджера и запросил платный выезд, не знаю чем закончилась история мячик был на стороне Екатерины Б</t>
  </si>
  <si>
    <t>YAK83388</t>
  </si>
  <si>
    <t>20.11 послушали и скинули. письмо направила. дату поставила на 4 декабря</t>
  </si>
  <si>
    <t xml:space="preserve">23,01 ндз, 30.01. - слушать не стал, сказал "мне это неинтересно" </t>
  </si>
  <si>
    <t>BAI22272</t>
  </si>
  <si>
    <t>20.11 она не занимается, дала номер 89262544799 Кадир зовут it@ic-energostroy.ru, сказал все отправит завтра попросил инструкцию</t>
  </si>
  <si>
    <t>EFD52528</t>
  </si>
  <si>
    <t>20.11 не знал что надо отправлять попросил инструкцию, сказал на след неделе отправит или почтой или курьером</t>
  </si>
  <si>
    <t>IVP24408</t>
  </si>
  <si>
    <r>
      <rPr>
        <rFont val="Calibri"/>
        <b/>
        <i/>
        <color theme="1"/>
        <sz val="11.0"/>
      </rPr>
      <t xml:space="preserve">19.11 ндз, 21.11 ндз 24.11 ндз 27.11 письмо отправлено; 16.01: админ один Раджабадзиев, пробуем дозвониться ему. 06.02 Вера написала письмо Багаву Виктору, так как клиент закреплен за Уфой с просьбой организовать встречу, долг за 2025 год 773 шт. </t>
    </r>
    <r>
      <rPr>
        <rFont val="Calibri"/>
        <b/>
        <i/>
        <color rgb="FFFF0000"/>
        <sz val="11.0"/>
      </rPr>
      <t>за 25 ликвидировали, высылали за 26 год ушло в отклоненные.</t>
    </r>
  </si>
  <si>
    <t>23,01 ндз</t>
  </si>
  <si>
    <t>ZIL64358</t>
  </si>
  <si>
    <t>17.11 распределенная компания, сложно собирать, плохо понимает смысл и со своим менеджером обсуждали как им можно отойти от этой схемы. Про Докси не знал</t>
  </si>
  <si>
    <t>26.01 - ндз , 27.01 ндз 02.02 знает свой косяк, один уволенный, постарается отправить</t>
  </si>
  <si>
    <t>IZW08893</t>
  </si>
  <si>
    <t>19.11 ндз,21.11 сказал по его инфо у него нет долга, сказал зайдет и проверит все, а если что то есть то отправит в понедельник 24 ноября</t>
  </si>
  <si>
    <t>VFD97986</t>
  </si>
  <si>
    <t>19.11 сказал знает о долге, отправит</t>
  </si>
  <si>
    <t>ZPY21502</t>
  </si>
  <si>
    <r>
      <rPr>
        <rFont val="Calibri"/>
        <b/>
        <i/>
        <color theme="1"/>
        <sz val="11.0"/>
      </rPr>
      <t xml:space="preserve">14.11 отправляла сразу после конца 3 квартала 3 заявления, у нее еще есть XKC, подозреваю это 2000289, в Докси не работает, перезвон в 12 екб. Рассказала про Докси, все посмотрит, если что восстановит, посылка была отправлена в начале октября, трек номера нет. Сейчас уходит в отпуск. Про ХКС 2000289 так и не поняла, ее или не ее. </t>
    </r>
    <r>
      <rPr>
        <rFont val="Calibri"/>
        <b/>
        <i/>
        <color rgb="FFFF0000"/>
        <sz val="11.0"/>
      </rPr>
      <t>Без описи шлют</t>
    </r>
  </si>
  <si>
    <t>23.01 не знали куда, отпавляли партнеру с которым договор, Иркутск ул. Ямская д 1/1, оф 1. За 4 квартали сказала им нам слать напрямую. 26.01: Вера написала партнеру</t>
  </si>
  <si>
    <t>все передали своему партнеру</t>
  </si>
  <si>
    <t>KLH70502</t>
  </si>
  <si>
    <t>19.11 ндз, 21.11 сказал совсем забыл про это, обещал до конца ноября</t>
  </si>
  <si>
    <t>VOZ79820</t>
  </si>
  <si>
    <t>12.11 Он относит оригиналы в СЦ на Карла Маркса 48 и там ему сказали что документы приняты. Можно ли так делать? я ему ответила что доки мы принимаем через почту либо курьером. он в растерянности и не знает что делать, боится что документы потеряны раз у нас нет информации. инструкцию отправила. Вера выясняет ситуацию</t>
  </si>
  <si>
    <t>Прошел первый звонок, Запросил повестку</t>
  </si>
  <si>
    <t>YDG28694</t>
  </si>
  <si>
    <t>19.11 ндз,21.11 по указанному телефону не Михаил, 79159392535 номер Михаила, mashakin-ma@yandex.ru, сказал что думал отправить с 4 кварталом, не сориентировался в числах, они только в сентябре начали выпускать</t>
  </si>
  <si>
    <t>DPN06208</t>
  </si>
  <si>
    <t>17.11 автоответчик, на 18.11 нет долга посылка отправлена</t>
  </si>
  <si>
    <t>BIP36966</t>
  </si>
  <si>
    <t>19.11 ему кто-то говорил что надо отправлять оригиналы, попросил инструкцию.</t>
  </si>
  <si>
    <t>23,01 был занят просил перезвонить, потом ндз , 30.01 - ндз , 02,02 не ответил</t>
  </si>
  <si>
    <t>IJI70941</t>
  </si>
  <si>
    <r>
      <rPr>
        <rFont val="Calibri"/>
        <b/>
        <i/>
        <color theme="1"/>
        <sz val="11.0"/>
      </rPr>
      <t xml:space="preserve">19.11 ей сказал куратор что они ничего не должны и он все сам за них будет делать. в докси долг, инструкцию направила. </t>
    </r>
    <r>
      <rPr>
        <rFont val="Calibri"/>
        <b/>
        <i/>
        <color rgb="FFFF0000"/>
        <sz val="11.0"/>
      </rPr>
      <t>Шлют без описи</t>
    </r>
  </si>
  <si>
    <t xml:space="preserve">27.01 -опять не знала что надо документы надо отравлять , обещала все отправить до конца января, но как то сомнительно </t>
  </si>
  <si>
    <t>EYC07193</t>
  </si>
  <si>
    <t xml:space="preserve">14.11 ндз, 17.11 автоответ, 18.11 скинул 27.11 письмо отправлено 28.11Пришло письмо -  Месяц назад отправили пакет документов по адресу, но на этой неделе документы вернулись, отправлены повторно. </t>
  </si>
  <si>
    <t>YOL17368</t>
  </si>
  <si>
    <t>14.11 ндз, 21.11 скинул 24.11 ндз 27.11 письмо отправлено: 16.01: админ один Форопонов , пробуем дозвониться ему</t>
  </si>
  <si>
    <t>ZWR71715</t>
  </si>
  <si>
    <r>
      <rPr>
        <rFont val="Calibri"/>
        <b/>
        <i/>
        <color theme="1"/>
        <sz val="11.0"/>
      </rPr>
      <t xml:space="preserve">звонить Ершову +7 (911) 234-87-57
Ершов Александр Борисович
A.Ershov@gazenergocom.ru. Он сказал что к нему приезжал курьер и забрал заявления, отдал ему расписку, но в докси это никак не числится. 02.03 остался 1 документ из 4, это 25%. </t>
    </r>
    <r>
      <rPr>
        <rFont val="Calibri"/>
        <b/>
        <i/>
        <color rgb="FFFF0000"/>
        <sz val="11.0"/>
      </rPr>
      <t>Долг за 4 кв 25</t>
    </r>
  </si>
  <si>
    <t>03,03 послушала меня и скинула</t>
  </si>
  <si>
    <t>WQI40561</t>
  </si>
  <si>
    <t>14.11 письмо отправлено</t>
  </si>
  <si>
    <t>23,01 сказал что занимается этим впервые и постарается отправить все до середины февраля. пока что не представляет даже куда все нести. выслала письмо</t>
  </si>
  <si>
    <t>XZI90932</t>
  </si>
  <si>
    <t>14.11 ндз, 17.11 ндз, 18.11 ндз; 16.01: главный админ один Зверева, пробуем дозвониться ей</t>
  </si>
  <si>
    <t>23.01 скинула звонок. написала повторное письмо</t>
  </si>
  <si>
    <t>CZW00156</t>
  </si>
  <si>
    <t>14.11 ндз, 21.11 выключен тел 24.11 ндз; 24.11.25 заменили телефон и email , 25.11 - ндз  26.11 ндз 27.11 моментально сбрасывается, как будто нас заблокировали письмо отправлено. 16.01: админ один Старшинов, пробуем дозвониться ему</t>
  </si>
  <si>
    <t>23,01 сразу сброс звонка</t>
  </si>
  <si>
    <t>QQP09823</t>
  </si>
  <si>
    <t>Зайдем через менеджера</t>
  </si>
  <si>
    <r>
      <rPr>
        <rFont val="Calibri"/>
        <b/>
        <i/>
        <color theme="1"/>
        <sz val="11.0"/>
      </rPr>
      <t xml:space="preserve">на 13.11 долгов нет. </t>
    </r>
    <r>
      <rPr>
        <rFont val="Calibri"/>
        <b/>
        <i/>
        <color rgb="FFFF0000"/>
        <sz val="11.0"/>
      </rPr>
      <t>за 3 кв долг закрыли, но за 4 кв долг накопили</t>
    </r>
  </si>
  <si>
    <t>ZID52243</t>
  </si>
  <si>
    <t>на 11,11 долга нет</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</si>
</sst>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dd.MM.yyyy"/>
    <numFmt numFmtId="165" formatCode="0%;\-0%;0%"/>
    <numFmt numFmtId="166" formatCode="dd.mm.yyyy"/>
    <numFmt numFmtId="167" formatCode="d.m.yyyy"/>
    <numFmt numFmtId="168" formatCode="d.m"/>
    <numFmt numFmtId="169" formatCode="dd.mm"/>
    <numFmt numFmtId="170" formatCode="d.m."/>
    <numFmt numFmtId="171" formatCode="dd.mm.yy"/>
  </numFmts>
  <fonts count="13">
    <font>
      <sz val="11.0"/>
      <color theme="1"/>
      <name val="Arial"/>
      <scheme val="minor"/>
    </font>
    <font>
      <b/>
      <color rgb="FF000000"/>
      <name val="Arial"/>
      <scheme val="minor"/>
    </font>
    <font>
      <b/>
      <color rgb="FF000000"/>
      <name val="&quot;Arial&quot;"/>
    </font>
    <font>
      <b/>
      <color theme="1"/>
      <name val="Arial"/>
      <scheme val="minor"/>
    </font>
    <font>
      <color theme="1"/>
      <name val="Arial"/>
      <scheme val="minor"/>
    </font>
    <font>
      <b/>
      <sz val="11.0"/>
      <color theme="1"/>
      <name val="Calibri"/>
    </font>
    <font>
      <sz val="11.0"/>
      <color theme="1"/>
      <name val="Calibri"/>
    </font>
    <font>
      <b/>
      <i/>
      <sz val="11.0"/>
      <color theme="1"/>
      <name val="Calibri"/>
    </font>
    <font>
      <sz val="12.0"/>
      <color rgb="FF222222"/>
      <name val="&quot;Lab Grotesque&quot;"/>
    </font>
    <font>
      <b/>
      <i/>
      <sz val="11.0"/>
      <color rgb="FFFF0000"/>
      <name val="Calibri"/>
    </font>
    <font>
      <b/>
      <i/>
      <sz val="11.0"/>
      <color rgb="FF000000"/>
      <name val="Calibri"/>
    </font>
    <font>
      <b/>
      <i/>
      <u/>
      <sz val="11.0"/>
      <color rgb="FF0000FF"/>
      <name val="Calibri"/>
    </font>
    <font>
      <b/>
      <i/>
      <u/>
      <sz val="11.0"/>
      <color rgb="FF0000FF"/>
      <name val="Calibri"/>
    </font>
  </fonts>
  <fills count="11">
    <fill>
      <patternFill patternType="none"/>
    </fill>
    <fill>
      <patternFill patternType="lightGray"/>
    </fill>
    <fill>
      <patternFill patternType="solid">
        <fgColor rgb="FFFCE5CD"/>
        <bgColor rgb="FFFCE5CD"/>
      </patternFill>
    </fill>
    <fill>
      <patternFill patternType="solid">
        <fgColor theme="4"/>
        <bgColor theme="4"/>
      </patternFill>
    </fill>
    <fill>
      <patternFill patternType="solid">
        <fgColor theme="0"/>
        <bgColor theme="0"/>
      </patternFill>
    </fill>
    <fill>
      <patternFill patternType="solid">
        <fgColor rgb="FFF3F3F3"/>
        <bgColor rgb="FFF3F3F3"/>
      </patternFill>
    </fill>
    <fill>
      <patternFill patternType="solid">
        <fgColor rgb="FFDEEAF6"/>
        <bgColor rgb="FFDEEAF6"/>
      </patternFill>
    </fill>
    <fill>
      <patternFill patternType="solid">
        <fgColor rgb="FFBDD6EE"/>
        <bgColor rgb="FFBDD6EE"/>
      </patternFill>
    </fill>
    <fill>
      <patternFill patternType="solid">
        <fgColor rgb="FFFFFFFF"/>
        <bgColor rgb="FFFFFFFF"/>
      </patternFill>
    </fill>
    <fill>
      <patternFill patternType="solid">
        <fgColor rgb="FFFF0000"/>
        <bgColor rgb="FFFF0000"/>
      </patternFill>
    </fill>
    <fill>
      <patternFill patternType="solid">
        <fgColor rgb="FFCFE2F3"/>
        <bgColor rgb="FFCFE2F3"/>
      </patternFill>
    </fill>
  </fills>
  <borders count="5">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3">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3" fontId="2" numFmtId="49" xfId="0" applyAlignment="1" applyFill="1" applyFont="1" applyNumberFormat="1">
      <alignment readingOrder="0" vertical="top"/>
    </xf>
    <xf borderId="0" fillId="2" fontId="3" numFmtId="0" xfId="0" applyAlignment="1" applyFill="1" applyFont="1">
      <alignment shrinkToFit="0" vertical="top" wrapText="1"/>
    </xf>
    <xf borderId="0" fillId="2" fontId="3" numFmtId="164" xfId="0" applyAlignment="1" applyFill="1" applyFont="1" applyNumberFormat="1">
      <alignment shrinkToFit="0" vertical="top" wrapText="1"/>
    </xf>
    <xf borderId="0" fillId="2" fontId="3" numFmtId="0" xfId="0" applyAlignment="1" applyFill="1" applyFont="1">
      <alignment readingOrder="0" shrinkToFit="0" vertical="top" wrapText="1"/>
    </xf>
    <xf borderId="0" fillId="2" fontId="3" numFmtId="10" xfId="0" applyAlignment="1" applyFill="1" applyFont="1" applyNumberFormat="1">
      <alignment readingOrder="0" shrinkToFit="0" vertical="top" wrapText="1"/>
    </xf>
    <xf borderId="0" fillId="2" fontId="4" numFmtId="0" xfId="0" applyAlignment="1" applyFill="1" applyFont="1">
      <alignment readingOrder="0" shrinkToFit="0" vertical="top" wrapText="1"/>
    </xf>
    <xf borderId="1" fillId="2" fontId="5" numFmtId="0" xfId="0" applyAlignment="1" applyBorder="1" applyFill="1" applyFont="1">
      <alignment shrinkToFit="0" vertical="top" wrapText="1"/>
    </xf>
    <xf borderId="2" fillId="2" fontId="5" numFmtId="0" xfId="0" applyAlignment="1" applyBorder="1" applyFill="1" applyFont="1">
      <alignment shrinkToFit="0" vertical="top" wrapText="1"/>
    </xf>
    <xf borderId="3" fillId="2" fontId="5" numFmtId="0" xfId="0" applyAlignment="1" applyBorder="1" applyFill="1" applyFont="1">
      <alignment horizontal="center" readingOrder="0" shrinkToFit="0" vertical="top" wrapText="1"/>
    </xf>
    <xf borderId="3" fillId="2" fontId="3" numFmtId="0" xfId="0" applyAlignment="1" applyBorder="1" applyFill="1" applyFont="1">
      <alignment readingOrder="0" shrinkToFit="0" vertical="top" wrapText="1"/>
    </xf>
    <xf borderId="0" fillId="4" fontId="6" numFmtId="49" xfId="0" applyFill="1" applyFont="1" applyNumberFormat="1"/>
    <xf borderId="0" fillId="4" fontId="6" numFmtId="0" xfId="0" applyFill="1" applyFont="1"/>
    <xf borderId="0" fillId="4" fontId="6" numFmtId="164" xfId="0" applyFill="1" applyFont="1" applyNumberFormat="1"/>
    <xf borderId="0" fillId="4" fontId="6" numFmtId="3" xfId="0" applyFill="1" applyFont="1" applyNumberFormat="1"/>
    <xf borderId="0" fillId="4" fontId="6" numFmtId="3" xfId="0" applyAlignment="1" applyFill="1" applyFont="1" applyNumberFormat="1">
      <alignment shrinkToFit="0" wrapText="1"/>
    </xf>
    <xf borderId="0" fillId="4" fontId="6" numFmtId="10" xfId="0" applyAlignment="1" applyFill="1" applyFont="1" applyNumberFormat="1">
      <alignment readingOrder="0" shrinkToFit="0" wrapText="1"/>
    </xf>
    <xf borderId="0" fillId="4" fontId="6" numFmtId="3" xfId="0" applyAlignment="1" applyFill="1" applyFont="1" applyNumberFormat="1">
      <alignment readingOrder="0" shrinkToFit="0" wrapText="1"/>
    </xf>
    <xf borderId="0" fillId="4" fontId="6" numFmtId="3" xfId="0" applyAlignment="1" applyFill="1" applyFont="1" applyNumberFormat="1">
      <alignment readingOrder="0"/>
    </xf>
    <xf borderId="0" fillId="4" fontId="6" numFmtId="10" xfId="0" applyFill="1" applyFont="1" applyNumberFormat="1"/>
    <xf borderId="0" fillId="4" fontId="6" numFmtId="1" xfId="0" applyFill="1" applyFont="1" applyNumberFormat="1"/>
    <xf borderId="0" fillId="4" fontId="6" numFmtId="165" xfId="0" applyFill="1" applyFont="1" applyNumberFormat="1"/>
    <xf borderId="0" fillId="4" fontId="6" numFmtId="0" xfId="0" applyAlignment="1" applyFill="1" applyFont="1">
      <alignment readingOrder="0"/>
    </xf>
    <xf borderId="0" fillId="4" fontId="7" numFmtId="0" xfId="0" applyAlignment="1" applyFill="1" applyFont="1">
      <alignment readingOrder="0"/>
    </xf>
    <xf borderId="0" fillId="4" fontId="7" numFmtId="0" xfId="0" applyAlignment="1" applyFill="1" applyFont="1">
      <alignment readingOrder="0" shrinkToFit="0" wrapText="1"/>
    </xf>
    <xf borderId="0" fillId="5" fontId="6" numFmtId="1" xfId="0" applyAlignment="1" applyFill="1" applyFont="1" applyNumberFormat="1">
      <alignment readingOrder="0" shrinkToFit="0" vertical="bottom" wrapText="1"/>
    </xf>
    <xf borderId="0" fillId="4" fontId="7" numFmtId="0" xfId="0" applyFill="1" applyFont="1"/>
    <xf borderId="0" fillId="4" fontId="7" numFmtId="0" xfId="0" applyAlignment="1" applyFill="1" applyFont="1">
      <alignment shrinkToFit="0" wrapText="1"/>
    </xf>
    <xf borderId="0" fillId="4" fontId="7" numFmtId="0" xfId="0" applyAlignment="1" applyFill="1" applyFont="1">
      <alignment readingOrder="0" shrinkToFit="0" vertical="top" wrapText="1"/>
    </xf>
    <xf borderId="0" fillId="6" fontId="7" numFmtId="0" xfId="0" applyAlignment="1" applyFill="1" applyFont="1">
      <alignment readingOrder="0" vertical="bottom"/>
    </xf>
    <xf borderId="0" fillId="4" fontId="7" numFmtId="166" xfId="0" applyAlignment="1" applyFill="1" applyFont="1" applyNumberFormat="1">
      <alignment readingOrder="0"/>
    </xf>
    <xf borderId="0" fillId="7" fontId="7" numFmtId="0" xfId="0" applyAlignment="1" applyFill="1" applyFont="1">
      <alignment readingOrder="0" vertical="bottom"/>
    </xf>
    <xf borderId="0" fillId="6" fontId="7" numFmtId="0" xfId="0" applyAlignment="1" applyFill="1" applyFont="1">
      <alignment readingOrder="0" shrinkToFit="0" vertical="top" wrapText="1"/>
    </xf>
    <xf borderId="0" fillId="4" fontId="7" numFmtId="0" xfId="0" applyAlignment="1" applyFill="1" applyFont="1">
      <alignment readingOrder="0" vertical="top"/>
    </xf>
    <xf borderId="0" fillId="6" fontId="7" numFmtId="0" xfId="0" applyAlignment="1" applyFill="1" applyFont="1">
      <alignment readingOrder="0" vertical="top"/>
    </xf>
    <xf borderId="0" fillId="4" fontId="7" numFmtId="167" xfId="0" applyAlignment="1" applyFill="1" applyFont="1" applyNumberFormat="1">
      <alignment readingOrder="0"/>
    </xf>
    <xf borderId="0" fillId="7" fontId="7" numFmtId="0" xfId="0" applyAlignment="1" applyFill="1" applyFont="1">
      <alignment readingOrder="0" shrinkToFit="0" vertical="top" wrapText="1"/>
    </xf>
    <xf borderId="0" fillId="7" fontId="7" numFmtId="0" xfId="0" applyAlignment="1" applyFill="1" applyFont="1">
      <alignment readingOrder="0" vertical="top"/>
    </xf>
    <xf borderId="0" fillId="4" fontId="6" numFmtId="49" xfId="0" applyAlignment="1" applyFill="1" applyFont="1" applyNumberFormat="1">
      <alignment readingOrder="0"/>
    </xf>
    <xf borderId="0" fillId="4" fontId="7" numFmtId="168" xfId="0" applyAlignment="1" applyFill="1" applyFont="1" applyNumberFormat="1">
      <alignment readingOrder="0"/>
    </xf>
    <xf borderId="0" fillId="4" fontId="6" numFmtId="10" xfId="0" applyAlignment="1" applyFill="1" applyFont="1" applyNumberFormat="1">
      <alignment readingOrder="0"/>
    </xf>
    <xf borderId="0" fillId="4" fontId="7" numFmtId="167" xfId="0" applyAlignment="1" applyFill="1" applyFont="1" applyNumberFormat="1">
      <alignment readingOrder="0" shrinkToFit="0" wrapText="1"/>
    </xf>
    <xf borderId="0" fillId="4" fontId="6" numFmtId="49" xfId="0" applyAlignment="1" applyFill="1" applyFont="1" applyNumberFormat="1">
      <alignment vertical="top"/>
    </xf>
    <xf borderId="0" fillId="4" fontId="6" numFmtId="0" xfId="0" applyAlignment="1" applyFill="1" applyFont="1">
      <alignment vertical="top"/>
    </xf>
    <xf borderId="0" fillId="4" fontId="6" numFmtId="164" xfId="0" applyAlignment="1" applyFill="1" applyFont="1" applyNumberFormat="1">
      <alignment vertical="top"/>
    </xf>
    <xf borderId="0" fillId="4" fontId="6" numFmtId="3" xfId="0" applyAlignment="1" applyFill="1" applyFont="1" applyNumberFormat="1">
      <alignment vertical="top"/>
    </xf>
    <xf borderId="0" fillId="4" fontId="6" numFmtId="3" xfId="0" applyAlignment="1" applyFill="1" applyFont="1" applyNumberFormat="1">
      <alignment shrinkToFit="0" vertical="top" wrapText="1"/>
    </xf>
    <xf borderId="0" fillId="4" fontId="6" numFmtId="10" xfId="0" applyAlignment="1" applyFill="1" applyFont="1" applyNumberFormat="1">
      <alignment vertical="top"/>
    </xf>
    <xf borderId="0" fillId="4" fontId="6" numFmtId="1" xfId="0" applyAlignment="1" applyFill="1" applyFont="1" applyNumberFormat="1">
      <alignment vertical="top"/>
    </xf>
    <xf borderId="0" fillId="4" fontId="6" numFmtId="165" xfId="0" applyAlignment="1" applyFill="1" applyFont="1" applyNumberFormat="1">
      <alignment vertical="top"/>
    </xf>
    <xf borderId="0" fillId="4" fontId="6" numFmtId="0" xfId="0" applyAlignment="1" applyFill="1" applyFont="1">
      <alignment readingOrder="0" vertical="top"/>
    </xf>
    <xf borderId="0" fillId="4" fontId="7" numFmtId="0" xfId="0" applyAlignment="1" applyFill="1" applyFont="1">
      <alignment readingOrder="0" shrinkToFit="0" vertical="top" wrapText="1"/>
    </xf>
    <xf borderId="0" fillId="5" fontId="6" numFmtId="1" xfId="0" applyAlignment="1" applyFill="1" applyFont="1" applyNumberFormat="1">
      <alignment readingOrder="0" shrinkToFit="0" vertical="top" wrapText="1"/>
    </xf>
    <xf borderId="0" fillId="4" fontId="7" numFmtId="0" xfId="0" applyAlignment="1" applyFill="1" applyFont="1">
      <alignment vertical="top"/>
    </xf>
    <xf borderId="0" fillId="8" fontId="7" numFmtId="0" xfId="0" applyAlignment="1" applyFill="1" applyFont="1">
      <alignment readingOrder="0" shrinkToFit="0" wrapText="1"/>
    </xf>
    <xf borderId="0" fillId="4" fontId="7" numFmtId="166" xfId="0" applyAlignment="1" applyFill="1" applyFont="1" applyNumberFormat="1">
      <alignment readingOrder="0" shrinkToFit="0" wrapText="1"/>
    </xf>
    <xf borderId="0" fillId="9" fontId="6" numFmtId="49" xfId="0" applyFill="1" applyFont="1" applyNumberFormat="1"/>
    <xf borderId="0" fillId="7" fontId="7" numFmtId="0" xfId="0" applyAlignment="1" applyFill="1" applyFont="1">
      <alignment readingOrder="0"/>
    </xf>
    <xf borderId="0" fillId="4" fontId="6" numFmtId="0" xfId="0" applyAlignment="1" applyFill="1" applyFont="1">
      <alignment shrinkToFit="0" wrapText="1"/>
    </xf>
    <xf borderId="0" fillId="4" fontId="7" numFmtId="169" xfId="0" applyAlignment="1" applyFill="1" applyFont="1" applyNumberFormat="1">
      <alignment readingOrder="0"/>
    </xf>
    <xf borderId="0" fillId="7" fontId="7" numFmtId="0" xfId="0" applyAlignment="1" applyFill="1" applyFont="1">
      <alignment shrinkToFit="0" vertical="top" wrapText="1"/>
    </xf>
    <xf borderId="0" fillId="7" fontId="7" numFmtId="0" xfId="0" applyAlignment="1" applyFill="1" applyFont="1">
      <alignment vertical="bottom"/>
    </xf>
    <xf borderId="0" fillId="4" fontId="6" numFmtId="49" xfId="0" applyAlignment="1" applyFill="1" applyFont="1" applyNumberFormat="1">
      <alignment shrinkToFit="0" wrapText="1"/>
    </xf>
    <xf borderId="0" fillId="4" fontId="6" numFmtId="164" xfId="0" applyAlignment="1" applyFill="1" applyFont="1" applyNumberFormat="1">
      <alignment shrinkToFit="0" wrapText="1"/>
    </xf>
    <xf borderId="0" fillId="4" fontId="6" numFmtId="10" xfId="0" applyAlignment="1" applyFill="1" applyFont="1" applyNumberFormat="1">
      <alignment shrinkToFit="0" wrapText="1"/>
    </xf>
    <xf borderId="0" fillId="4" fontId="6" numFmtId="1" xfId="0" applyAlignment="1" applyFill="1" applyFont="1" applyNumberFormat="1">
      <alignment shrinkToFit="0" wrapText="1"/>
    </xf>
    <xf borderId="0" fillId="4" fontId="6" numFmtId="165" xfId="0" applyAlignment="1" applyFill="1" applyFont="1" applyNumberFormat="1">
      <alignment shrinkToFit="0" wrapText="1"/>
    </xf>
    <xf borderId="0" fillId="4" fontId="6" numFmtId="0" xfId="0" applyAlignment="1" applyFill="1" applyFont="1">
      <alignment readingOrder="0" shrinkToFit="0" wrapText="1"/>
    </xf>
    <xf borderId="0" fillId="7" fontId="7" numFmtId="166" xfId="0" applyAlignment="1" applyFill="1" applyFont="1" applyNumberFormat="1">
      <alignment readingOrder="0" vertical="top"/>
    </xf>
    <xf borderId="0" fillId="8" fontId="8" numFmtId="3" xfId="0" applyAlignment="1" applyFill="1" applyFont="1" applyNumberFormat="1">
      <alignment readingOrder="0" shrinkToFit="0" wrapText="0"/>
    </xf>
    <xf borderId="0" fillId="6" fontId="7" numFmtId="0" xfId="0" applyAlignment="1" applyFill="1" applyFont="1">
      <alignment shrinkToFit="0" vertical="top" wrapText="1"/>
    </xf>
    <xf borderId="0" fillId="6" fontId="7" numFmtId="0" xfId="0" applyAlignment="1" applyFill="1" applyFont="1">
      <alignment readingOrder="0"/>
    </xf>
    <xf borderId="0" fillId="10" fontId="6" numFmtId="49" xfId="0" applyFill="1" applyFont="1" applyNumberFormat="1"/>
    <xf borderId="0" fillId="10" fontId="6" numFmtId="0" xfId="0" applyAlignment="1" applyFill="1" applyFont="1">
      <alignment shrinkToFit="0" wrapText="1"/>
    </xf>
    <xf borderId="0" fillId="10" fontId="6" numFmtId="164" xfId="0" applyFill="1" applyFont="1" applyNumberFormat="1"/>
    <xf borderId="0" fillId="10" fontId="6" numFmtId="3" xfId="0" applyFill="1" applyFont="1" applyNumberFormat="1"/>
    <xf borderId="0" fillId="10" fontId="6" numFmtId="3" xfId="0" applyAlignment="1" applyFill="1" applyFont="1" applyNumberFormat="1">
      <alignment shrinkToFit="0" wrapText="1"/>
    </xf>
    <xf borderId="0" fillId="10" fontId="6" numFmtId="10" xfId="0" applyAlignment="1" applyFill="1" applyFont="1" applyNumberFormat="1">
      <alignment readingOrder="0" shrinkToFit="0" wrapText="1"/>
    </xf>
    <xf borderId="0" fillId="10" fontId="6" numFmtId="3" xfId="0" applyAlignment="1" applyFill="1" applyFont="1" applyNumberFormat="1">
      <alignment readingOrder="0" shrinkToFit="0" wrapText="1"/>
    </xf>
    <xf borderId="0" fillId="10" fontId="6" numFmtId="3" xfId="0" applyAlignment="1" applyFill="1" applyFont="1" applyNumberFormat="1">
      <alignment readingOrder="0"/>
    </xf>
    <xf borderId="0" fillId="10" fontId="6" numFmtId="10" xfId="0" applyFill="1" applyFont="1" applyNumberFormat="1"/>
    <xf borderId="0" fillId="10" fontId="6" numFmtId="1" xfId="0" applyFill="1" applyFont="1" applyNumberFormat="1"/>
    <xf borderId="0" fillId="10" fontId="6" numFmtId="165" xfId="0" applyFill="1" applyFont="1" applyNumberFormat="1"/>
    <xf borderId="0" fillId="10" fontId="6" numFmtId="0" xfId="0" applyAlignment="1" applyFill="1" applyFont="1">
      <alignment readingOrder="0"/>
    </xf>
    <xf borderId="0" fillId="10" fontId="6" numFmtId="0" xfId="0" applyFill="1" applyFont="1"/>
    <xf borderId="0" fillId="10" fontId="7" numFmtId="0" xfId="0" applyAlignment="1" applyFill="1" applyFont="1">
      <alignment readingOrder="0"/>
    </xf>
    <xf borderId="0" fillId="10" fontId="7" numFmtId="0" xfId="0" applyAlignment="1" applyFill="1" applyFont="1">
      <alignment readingOrder="0" shrinkToFit="0" vertical="top" wrapText="1"/>
    </xf>
    <xf borderId="0" fillId="10" fontId="6" numFmtId="1" xfId="0" applyAlignment="1" applyFill="1" applyFont="1" applyNumberFormat="1">
      <alignment readingOrder="0" shrinkToFit="0" vertical="bottom" wrapText="1"/>
    </xf>
    <xf borderId="0" fillId="10" fontId="7" numFmtId="167" xfId="0" applyAlignment="1" applyFill="1" applyFont="1" applyNumberFormat="1">
      <alignment readingOrder="0"/>
    </xf>
    <xf borderId="0" fillId="10" fontId="7" numFmtId="0" xfId="0" applyAlignment="1" applyFill="1" applyFont="1">
      <alignment shrinkToFit="0" wrapText="1"/>
    </xf>
    <xf borderId="0" fillId="10" fontId="7" numFmtId="0" xfId="0" applyAlignment="1" applyFill="1" applyFont="1">
      <alignment readingOrder="0" shrinkToFit="0" vertical="top" wrapText="1"/>
    </xf>
    <xf borderId="0" fillId="10" fontId="7" numFmtId="0" xfId="0" applyAlignment="1" applyFill="1" applyFont="1">
      <alignment readingOrder="0" shrinkToFit="0" wrapText="1"/>
    </xf>
    <xf borderId="0" fillId="10" fontId="7" numFmtId="0" xfId="0" applyFill="1" applyFont="1"/>
    <xf borderId="0" fillId="10" fontId="7" numFmtId="0" xfId="0" applyAlignment="1" applyFill="1" applyFont="1">
      <alignment readingOrder="0" vertical="top"/>
    </xf>
    <xf borderId="0" fillId="4" fontId="7" numFmtId="168" xfId="0" applyAlignment="1" applyFill="1" applyFont="1" applyNumberFormat="1">
      <alignment readingOrder="0" shrinkToFit="0" wrapText="1"/>
    </xf>
    <xf borderId="0" fillId="7" fontId="6" numFmtId="49" xfId="0" applyFill="1" applyFont="1" applyNumberFormat="1"/>
    <xf borderId="0" fillId="7" fontId="6" numFmtId="0" xfId="0" applyFill="1" applyFont="1"/>
    <xf borderId="0" fillId="7" fontId="6" numFmtId="164" xfId="0" applyFill="1" applyFont="1" applyNumberFormat="1"/>
    <xf borderId="0" fillId="7" fontId="6" numFmtId="3" xfId="0" applyFill="1" applyFont="1" applyNumberFormat="1"/>
    <xf borderId="0" fillId="7" fontId="6" numFmtId="3" xfId="0" applyAlignment="1" applyFill="1" applyFont="1" applyNumberFormat="1">
      <alignment shrinkToFit="0" wrapText="1"/>
    </xf>
    <xf borderId="0" fillId="7" fontId="6" numFmtId="10" xfId="0" applyAlignment="1" applyFill="1" applyFont="1" applyNumberFormat="1">
      <alignment readingOrder="0" shrinkToFit="0" wrapText="1"/>
    </xf>
    <xf borderId="0" fillId="7" fontId="6" numFmtId="3" xfId="0" applyAlignment="1" applyFill="1" applyFont="1" applyNumberFormat="1">
      <alignment readingOrder="0" shrinkToFit="0" wrapText="1"/>
    </xf>
    <xf borderId="0" fillId="7" fontId="6" numFmtId="3" xfId="0" applyAlignment="1" applyFill="1" applyFont="1" applyNumberFormat="1">
      <alignment readingOrder="0"/>
    </xf>
    <xf borderId="0" fillId="7" fontId="6" numFmtId="10" xfId="0" applyFill="1" applyFont="1" applyNumberFormat="1"/>
    <xf borderId="0" fillId="7" fontId="6" numFmtId="1" xfId="0" applyFill="1" applyFont="1" applyNumberFormat="1"/>
    <xf borderId="0" fillId="7" fontId="6" numFmtId="165" xfId="0" applyFill="1" applyFont="1" applyNumberFormat="1"/>
    <xf borderId="0" fillId="7" fontId="6" numFmtId="0" xfId="0" applyAlignment="1" applyFill="1" applyFont="1">
      <alignment readingOrder="0"/>
    </xf>
    <xf borderId="0" fillId="7" fontId="7" numFmtId="0" xfId="0" applyAlignment="1" applyFill="1" applyFont="1">
      <alignment readingOrder="0" shrinkToFit="0" wrapText="1"/>
    </xf>
    <xf borderId="0" fillId="7" fontId="6" numFmtId="1" xfId="0" applyAlignment="1" applyFill="1" applyFont="1" applyNumberFormat="1">
      <alignment readingOrder="0" shrinkToFit="0" vertical="bottom" wrapText="1"/>
    </xf>
    <xf borderId="0" fillId="7" fontId="7" numFmtId="0" xfId="0" applyFill="1" applyFont="1"/>
    <xf borderId="0" fillId="7" fontId="7" numFmtId="166" xfId="0" applyAlignment="1" applyFill="1" applyFont="1" applyNumberFormat="1">
      <alignment readingOrder="0"/>
    </xf>
    <xf borderId="0" fillId="4" fontId="9" numFmtId="0" xfId="0" applyAlignment="1" applyFill="1" applyFont="1">
      <alignment readingOrder="0" shrinkToFit="0" wrapText="1"/>
    </xf>
    <xf borderId="0" fillId="4" fontId="10" numFmtId="0" xfId="0" applyAlignment="1" applyFill="1" applyFont="1">
      <alignment readingOrder="0" shrinkToFit="0" wrapText="1"/>
    </xf>
    <xf borderId="0" fillId="4" fontId="7" numFmtId="170" xfId="0" applyAlignment="1" applyFill="1" applyFont="1" applyNumberFormat="1">
      <alignment readingOrder="0"/>
    </xf>
    <xf borderId="0" fillId="10" fontId="4" numFmtId="49" xfId="0" applyFill="1" applyFont="1" applyNumberFormat="1"/>
    <xf borderId="0" fillId="10" fontId="4" numFmtId="0" xfId="0" applyAlignment="1" applyFill="1" applyFont="1">
      <alignment shrinkToFit="0" wrapText="1"/>
    </xf>
    <xf borderId="0" fillId="10" fontId="7" numFmtId="167" xfId="0" applyAlignment="1" applyFill="1" applyFont="1" applyNumberFormat="1">
      <alignment readingOrder="0" shrinkToFit="0" wrapText="1"/>
    </xf>
    <xf borderId="0" fillId="10" fontId="6" numFmtId="49" xfId="0" applyAlignment="1" applyFill="1" applyFont="1" applyNumberFormat="1">
      <alignment readingOrder="0"/>
    </xf>
    <xf borderId="0" fillId="4" fontId="4" numFmtId="49" xfId="0" applyFill="1" applyFont="1" applyNumberFormat="1"/>
    <xf borderId="0" fillId="4" fontId="4" numFmtId="0" xfId="0" applyFill="1" applyFont="1"/>
    <xf borderId="0" fillId="6" fontId="7" numFmtId="0" xfId="0" applyAlignment="1" applyFill="1" applyFont="1">
      <alignment vertical="bottom"/>
    </xf>
    <xf borderId="0" fillId="4" fontId="7" numFmtId="0" xfId="0" applyAlignment="1" applyFill="1" applyFont="1">
      <alignment shrinkToFit="0" vertical="top" wrapText="1"/>
    </xf>
    <xf borderId="0" fillId="4" fontId="7" numFmtId="171" xfId="0" applyAlignment="1" applyFill="1" applyFont="1" applyNumberFormat="1">
      <alignment readingOrder="0"/>
    </xf>
    <xf borderId="0" fillId="8" fontId="6" numFmtId="3" xfId="0" applyAlignment="1" applyFill="1" applyFont="1" applyNumberFormat="1">
      <alignment readingOrder="0"/>
    </xf>
    <xf borderId="0" fillId="4" fontId="11" numFmtId="0" xfId="0" applyAlignment="1" applyFill="1" applyFont="1">
      <alignment readingOrder="0" shrinkToFit="0" vertical="top" wrapText="1"/>
    </xf>
    <xf borderId="0" fillId="4" fontId="12" numFmtId="0" xfId="0" applyAlignment="1" applyFill="1" applyFont="1">
      <alignment readingOrder="0" shrinkToFit="0" wrapText="1"/>
    </xf>
    <xf borderId="0" fillId="6" fontId="4" numFmtId="0" xfId="0" applyAlignment="1" applyFill="1" applyFont="1">
      <alignment horizontal="right" readingOrder="0" shrinkToFit="0" vertical="top" wrapText="1"/>
    </xf>
    <xf borderId="0" fillId="6" fontId="4" numFmtId="0" xfId="0" applyAlignment="1" applyFill="1" applyFont="1">
      <alignment horizontal="right" readingOrder="0" vertical="top"/>
    </xf>
    <xf borderId="4" fillId="6" fontId="4" numFmtId="0" xfId="0" applyAlignment="1" applyBorder="1" applyFill="1" applyFont="1">
      <alignment horizontal="right" readingOrder="0" vertical="top"/>
    </xf>
    <xf borderId="0" fillId="4" fontId="7" numFmtId="166" xfId="0" applyAlignment="1" applyFill="1" applyFont="1" applyNumberFormat="1">
      <alignment readingOrder="0" vertical="top"/>
    </xf>
    <xf borderId="0" fillId="9" fontId="6" numFmtId="3" xfId="0" applyAlignment="1" applyFill="1" applyFont="1" applyNumberFormat="1">
      <alignment readingOrder="0"/>
    </xf>
    <xf borderId="0" fillId="10" fontId="4" numFmtId="0" xfId="0" applyFill="1" applyFont="1"/>
  </cellXfs>
  <cellStyles count="1">
    <cellStyle xfId="0" name="Normal" builtinId="0"/>
  </cellStyles>
  <dxfs count="2">
    <dxf>
      <font/>
      <fill>
        <patternFill patternType="none"/>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kontur.ktalk.ru/um7dccw9ty3j" TargetMode="External"/><Relationship Id="rId2" Type="http://schemas.openxmlformats.org/officeDocument/2006/relationships/hyperlink" Target="https://kontur.ktalk.ru/vphp3u1edud7"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5.75"/>
    <col customWidth="1" min="2" max="2" width="7.63"/>
    <col customWidth="1" min="3" max="3" width="12.5"/>
    <col customWidth="1" min="4" max="4" width="11.38"/>
    <col customWidth="1" min="5" max="5" width="7.63"/>
    <col customWidth="1" min="6" max="6" width="18.5"/>
    <col customWidth="1" min="7" max="7" width="14.13"/>
    <col customWidth="1" min="8" max="8" width="18.88"/>
    <col customWidth="1" min="9" max="9" width="13.25"/>
    <col customWidth="1" min="10" max="10" width="28.63"/>
    <col customWidth="1" min="11" max="12" width="20.38"/>
    <col customWidth="1" min="13" max="13" width="28.63"/>
    <col customWidth="1" min="14" max="14" width="18.13"/>
    <col customWidth="1" min="15" max="17" width="28.63"/>
    <col customWidth="1" min="18" max="18" width="14.0"/>
    <col customWidth="1" min="19" max="19" width="11.75"/>
    <col customWidth="1" min="20" max="31" width="11.0"/>
    <col customWidth="1" min="32" max="32" width="13.75"/>
    <col customWidth="1" min="33" max="35" width="20.25"/>
    <col customWidth="1" min="36" max="40" width="7.63"/>
    <col customWidth="1" min="41" max="41" width="19.0"/>
    <col customWidth="1" min="42" max="42" width="15.38"/>
    <col customWidth="1" min="43" max="43" width="18.13"/>
    <col customWidth="1" min="44" max="44" width="12.25"/>
    <col customWidth="1" min="45" max="45" width="21.38"/>
    <col customWidth="1" min="46" max="46" width="47.5"/>
    <col customWidth="1" min="47" max="47" width="24.88"/>
    <col customWidth="1" min="48" max="50" width="15.38"/>
    <col customWidth="1" min="51" max="51" width="31.38"/>
    <col customWidth="1" min="52" max="52" width="28.25"/>
    <col customWidth="1" min="53" max="53" width="40.88"/>
    <col customWidth="1" min="54" max="54" width="25.88"/>
    <col customWidth="1" min="55" max="56" width="15.38"/>
    <col customWidth="1" min="57" max="57" width="24.0"/>
    <col customWidth="1" min="58" max="58" width="19.75"/>
    <col customWidth="1" min="59" max="60" width="15.38"/>
  </cols>
  <sheetData>
    <row r="1" ht="51.0" customHeight="1">
      <c r="A1" s="1" t="s">
        <v>0</v>
      </c>
      <c r="B1" s="2" t="s">
        <v>1</v>
      </c>
      <c r="C1" s="3" t="s">
        <v>2</v>
      </c>
      <c r="D1" s="4"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6" t="s">
        <v>20</v>
      </c>
      <c r="V1" s="5" t="s">
        <v>21</v>
      </c>
      <c r="W1" s="5" t="s">
        <v>22</v>
      </c>
      <c r="X1" s="6" t="s">
        <v>23</v>
      </c>
      <c r="Y1" s="5" t="s">
        <v>24</v>
      </c>
      <c r="Z1" s="6" t="s">
        <v>25</v>
      </c>
      <c r="AA1" s="5" t="s">
        <v>26</v>
      </c>
      <c r="AB1" s="5" t="s">
        <v>27</v>
      </c>
      <c r="AC1" s="5" t="s">
        <v>28</v>
      </c>
      <c r="AD1" s="6" t="s">
        <v>29</v>
      </c>
      <c r="AE1" s="5" t="s">
        <v>30</v>
      </c>
      <c r="AF1" s="6" t="s">
        <v>31</v>
      </c>
      <c r="AG1" s="5" t="s">
        <v>32</v>
      </c>
      <c r="AH1" s="6" t="s">
        <v>33</v>
      </c>
      <c r="AI1" s="5" t="s">
        <v>34</v>
      </c>
      <c r="AJ1" s="3" t="s">
        <v>35</v>
      </c>
      <c r="AK1" s="3" t="s">
        <v>36</v>
      </c>
      <c r="AL1" s="3" t="s">
        <v>37</v>
      </c>
      <c r="AM1" s="3" t="s">
        <v>38</v>
      </c>
      <c r="AN1" s="3" t="s">
        <v>39</v>
      </c>
      <c r="AO1" s="5" t="s">
        <v>40</v>
      </c>
      <c r="AP1" s="5" t="s">
        <v>41</v>
      </c>
      <c r="AQ1" s="7" t="s">
        <v>42</v>
      </c>
      <c r="AR1" s="5" t="s">
        <v>43</v>
      </c>
      <c r="AS1" s="8" t="s">
        <v>44</v>
      </c>
      <c r="AT1" s="9" t="s">
        <v>45</v>
      </c>
      <c r="AU1" s="10" t="s">
        <v>46</v>
      </c>
      <c r="AV1" s="11" t="s">
        <v>47</v>
      </c>
      <c r="AW1" s="11" t="s">
        <v>48</v>
      </c>
      <c r="AX1" s="11" t="s">
        <v>49</v>
      </c>
      <c r="AY1" s="11" t="s">
        <v>50</v>
      </c>
      <c r="AZ1" s="8" t="s">
        <v>44</v>
      </c>
      <c r="BA1" s="11" t="s">
        <v>51</v>
      </c>
      <c r="BB1" s="11" t="s">
        <v>52</v>
      </c>
      <c r="BC1" s="11" t="s">
        <v>47</v>
      </c>
      <c r="BD1" s="11" t="s">
        <v>53</v>
      </c>
      <c r="BE1" s="11" t="s">
        <v>54</v>
      </c>
      <c r="BF1" s="11" t="s">
        <v>55</v>
      </c>
      <c r="BG1" s="11" t="s">
        <v>56</v>
      </c>
      <c r="BH1" s="11" t="s">
        <v>57</v>
      </c>
    </row>
    <row r="2" ht="14.25" customHeight="1">
      <c r="A2" s="12" t="s">
        <v>58</v>
      </c>
      <c r="B2" s="12"/>
      <c r="C2" s="13"/>
      <c r="D2" s="14"/>
      <c r="E2" s="15"/>
      <c r="F2" s="15"/>
      <c r="G2" s="12"/>
      <c r="H2" s="16"/>
      <c r="I2" s="17">
        <v>0.9091</v>
      </c>
      <c r="J2" s="18" t="s">
        <v>59</v>
      </c>
      <c r="K2" s="18" t="s">
        <v>60</v>
      </c>
      <c r="L2" s="18" t="s">
        <v>61</v>
      </c>
      <c r="M2" s="18" t="s">
        <v>62</v>
      </c>
      <c r="N2" s="18"/>
      <c r="O2" s="18" t="s">
        <v>60</v>
      </c>
      <c r="P2" s="18" t="s">
        <v>60</v>
      </c>
      <c r="Q2" s="19" t="s">
        <v>60</v>
      </c>
      <c r="R2" s="15">
        <f t="shared" ref="R2:R296" si="3">COUNTIF(F:F,F2)</f>
        <v>0</v>
      </c>
      <c r="S2" s="15">
        <v>24.0</v>
      </c>
      <c r="T2" s="15">
        <v>24.0</v>
      </c>
      <c r="U2" s="20">
        <f t="shared" ref="U2:U297" si="4">T2/S2</f>
        <v>1</v>
      </c>
      <c r="V2" s="15">
        <f t="shared" ref="V2:V296" si="5">AI2-T2</f>
        <v>0</v>
      </c>
      <c r="W2" s="15">
        <v>24.0</v>
      </c>
      <c r="X2" s="20">
        <f t="shared" ref="X2:X297" si="6">W2/S2</f>
        <v>1</v>
      </c>
      <c r="Y2" s="15">
        <f t="shared" ref="Y2:Z2" si="1">AE2-W2</f>
        <v>0</v>
      </c>
      <c r="Z2" s="20">
        <f t="shared" si="1"/>
        <v>0</v>
      </c>
      <c r="AA2" s="15">
        <v>24.0</v>
      </c>
      <c r="AB2" s="20">
        <f t="shared" ref="AB2:AB297" si="8">AA2/S2</f>
        <v>1</v>
      </c>
      <c r="AC2" s="15">
        <f t="shared" ref="AC2:AD2" si="2">AE2-AA2</f>
        <v>0</v>
      </c>
      <c r="AD2" s="20">
        <f t="shared" si="2"/>
        <v>0</v>
      </c>
      <c r="AE2" s="15">
        <v>24.0</v>
      </c>
      <c r="AF2" s="20">
        <f t="shared" ref="AF2:AF297" si="10">AE2/S2</f>
        <v>1</v>
      </c>
      <c r="AG2" s="15">
        <v>24.0</v>
      </c>
      <c r="AH2" s="20">
        <f t="shared" ref="AH2:AH296" si="11">AG2/S2</f>
        <v>1</v>
      </c>
      <c r="AI2" s="15">
        <v>24.0</v>
      </c>
      <c r="AJ2" s="15">
        <v>0.0</v>
      </c>
      <c r="AK2" s="21">
        <v>0.0</v>
      </c>
      <c r="AL2" s="22">
        <v>1.0</v>
      </c>
      <c r="AM2" s="15">
        <v>0.0</v>
      </c>
      <c r="AN2" s="15">
        <v>0.0</v>
      </c>
      <c r="AO2" s="23" t="s">
        <v>63</v>
      </c>
      <c r="AP2" s="23" t="s">
        <v>64</v>
      </c>
      <c r="AQ2" s="13" t="s">
        <v>65</v>
      </c>
      <c r="AR2" s="24" t="s">
        <v>66</v>
      </c>
      <c r="AS2" s="24"/>
      <c r="AT2" s="25" t="s">
        <v>67</v>
      </c>
      <c r="AU2" s="26" t="s">
        <v>68</v>
      </c>
      <c r="AV2" s="27"/>
      <c r="AW2" s="24" t="s">
        <v>69</v>
      </c>
      <c r="AX2" s="28"/>
      <c r="AY2" s="29" t="s">
        <v>70</v>
      </c>
      <c r="AZ2" s="30"/>
      <c r="BA2" s="25" t="s">
        <v>71</v>
      </c>
      <c r="BB2" s="26" t="s">
        <v>72</v>
      </c>
      <c r="BC2" s="31">
        <v>46062.0</v>
      </c>
      <c r="BD2" s="24" t="s">
        <v>73</v>
      </c>
      <c r="BE2" s="27"/>
      <c r="BF2" s="27"/>
      <c r="BG2" s="27"/>
      <c r="BH2" s="27"/>
    </row>
    <row r="3" ht="14.25" customHeight="1">
      <c r="A3" s="12" t="s">
        <v>74</v>
      </c>
      <c r="B3" s="12"/>
      <c r="C3" s="13"/>
      <c r="D3" s="14"/>
      <c r="E3" s="15"/>
      <c r="F3" s="15"/>
      <c r="G3" s="12"/>
      <c r="H3" s="16"/>
      <c r="I3" s="17">
        <v>0.8485</v>
      </c>
      <c r="J3" s="18"/>
      <c r="K3" s="18" t="s">
        <v>75</v>
      </c>
      <c r="L3" s="18" t="s">
        <v>76</v>
      </c>
      <c r="M3" s="18" t="s">
        <v>62</v>
      </c>
      <c r="N3" s="18"/>
      <c r="O3" s="18" t="s">
        <v>60</v>
      </c>
      <c r="P3" s="18" t="s">
        <v>60</v>
      </c>
      <c r="Q3" s="19" t="s">
        <v>60</v>
      </c>
      <c r="R3" s="15">
        <f t="shared" si="3"/>
        <v>0</v>
      </c>
      <c r="S3" s="15">
        <v>29.0</v>
      </c>
      <c r="T3" s="15">
        <v>24.0</v>
      </c>
      <c r="U3" s="20">
        <f t="shared" si="4"/>
        <v>0.8275862069</v>
      </c>
      <c r="V3" s="15">
        <f t="shared" si="5"/>
        <v>5</v>
      </c>
      <c r="W3" s="15">
        <v>29.0</v>
      </c>
      <c r="X3" s="20">
        <f t="shared" si="6"/>
        <v>1</v>
      </c>
      <c r="Y3" s="15">
        <f t="shared" ref="Y3:Z3" si="7">AE3-W3</f>
        <v>0</v>
      </c>
      <c r="Z3" s="20">
        <f t="shared" si="7"/>
        <v>0</v>
      </c>
      <c r="AA3" s="15">
        <v>29.0</v>
      </c>
      <c r="AB3" s="20">
        <f t="shared" si="8"/>
        <v>1</v>
      </c>
      <c r="AC3" s="15">
        <f t="shared" ref="AC3:AD3" si="9">AE3-AA3</f>
        <v>0</v>
      </c>
      <c r="AD3" s="20">
        <f t="shared" si="9"/>
        <v>0</v>
      </c>
      <c r="AE3" s="15">
        <v>29.0</v>
      </c>
      <c r="AF3" s="20">
        <f t="shared" si="10"/>
        <v>1</v>
      </c>
      <c r="AG3" s="15">
        <v>29.0</v>
      </c>
      <c r="AH3" s="20">
        <f t="shared" si="11"/>
        <v>1</v>
      </c>
      <c r="AI3" s="15">
        <v>29.0</v>
      </c>
      <c r="AJ3" s="15">
        <v>0.0</v>
      </c>
      <c r="AK3" s="21">
        <v>0.0</v>
      </c>
      <c r="AL3" s="22">
        <v>1.0</v>
      </c>
      <c r="AM3" s="15">
        <v>0.0</v>
      </c>
      <c r="AN3" s="15">
        <v>0.0</v>
      </c>
      <c r="AO3" s="23" t="s">
        <v>64</v>
      </c>
      <c r="AP3" s="23" t="s">
        <v>64</v>
      </c>
      <c r="AQ3" s="13" t="s">
        <v>77</v>
      </c>
      <c r="AR3" s="24" t="s">
        <v>66</v>
      </c>
      <c r="AS3" s="24"/>
      <c r="AT3" s="25" t="s">
        <v>78</v>
      </c>
      <c r="AU3" s="26" t="s">
        <v>68</v>
      </c>
      <c r="AV3" s="27"/>
      <c r="AW3" s="24" t="s">
        <v>79</v>
      </c>
      <c r="AX3" s="28"/>
      <c r="AY3" s="29" t="s">
        <v>70</v>
      </c>
      <c r="AZ3" s="32"/>
      <c r="BA3" s="25" t="s">
        <v>80</v>
      </c>
      <c r="BB3" s="26" t="s">
        <v>72</v>
      </c>
      <c r="BC3" s="27"/>
      <c r="BD3" s="24" t="s">
        <v>81</v>
      </c>
      <c r="BE3" s="25" t="s">
        <v>82</v>
      </c>
      <c r="BF3" s="27"/>
      <c r="BG3" s="27"/>
      <c r="BH3" s="27"/>
    </row>
    <row r="4" ht="14.25" customHeight="1">
      <c r="A4" s="12" t="s">
        <v>83</v>
      </c>
      <c r="B4" s="12"/>
      <c r="C4" s="13"/>
      <c r="D4" s="14"/>
      <c r="E4" s="15"/>
      <c r="F4" s="19"/>
      <c r="G4" s="12"/>
      <c r="H4" s="16"/>
      <c r="I4" s="17">
        <v>0.1091</v>
      </c>
      <c r="J4" s="18"/>
      <c r="K4" s="18" t="s">
        <v>84</v>
      </c>
      <c r="L4" s="18" t="s">
        <v>85</v>
      </c>
      <c r="M4" s="18" t="s">
        <v>62</v>
      </c>
      <c r="N4" s="18"/>
      <c r="O4" s="18" t="s">
        <v>62</v>
      </c>
      <c r="P4" s="18" t="s">
        <v>86</v>
      </c>
      <c r="Q4" s="19" t="s">
        <v>60</v>
      </c>
      <c r="R4" s="15">
        <f t="shared" si="3"/>
        <v>0</v>
      </c>
      <c r="S4" s="15">
        <v>44.0</v>
      </c>
      <c r="T4" s="15">
        <v>5.0</v>
      </c>
      <c r="U4" s="20">
        <f t="shared" si="4"/>
        <v>0.1136363636</v>
      </c>
      <c r="V4" s="15">
        <f t="shared" si="5"/>
        <v>15</v>
      </c>
      <c r="W4" s="15">
        <v>5.0</v>
      </c>
      <c r="X4" s="20">
        <f t="shared" si="6"/>
        <v>0.1136363636</v>
      </c>
      <c r="Y4" s="15">
        <f t="shared" ref="Y4:Z4" si="12">AE4-W4</f>
        <v>15</v>
      </c>
      <c r="Z4" s="20">
        <f t="shared" si="12"/>
        <v>0.3409090909</v>
      </c>
      <c r="AA4" s="15">
        <v>20.0</v>
      </c>
      <c r="AB4" s="20">
        <f t="shared" si="8"/>
        <v>0.4545454545</v>
      </c>
      <c r="AC4" s="15">
        <f t="shared" ref="AC4:AD4" si="13">AE4-AA4</f>
        <v>0</v>
      </c>
      <c r="AD4" s="20">
        <f t="shared" si="13"/>
        <v>0</v>
      </c>
      <c r="AE4" s="15">
        <v>20.0</v>
      </c>
      <c r="AF4" s="20">
        <f t="shared" si="10"/>
        <v>0.4545454545</v>
      </c>
      <c r="AG4" s="15">
        <v>20.0</v>
      </c>
      <c r="AH4" s="20">
        <f t="shared" si="11"/>
        <v>0.4545454545</v>
      </c>
      <c r="AI4" s="15">
        <v>20.0</v>
      </c>
      <c r="AJ4" s="15">
        <v>0.0</v>
      </c>
      <c r="AK4" s="21">
        <v>0.0</v>
      </c>
      <c r="AL4" s="22">
        <v>0.454545454545455</v>
      </c>
      <c r="AM4" s="15">
        <v>24.0</v>
      </c>
      <c r="AN4" s="15">
        <v>24.0</v>
      </c>
      <c r="AO4" s="23" t="s">
        <v>63</v>
      </c>
      <c r="AP4" s="23" t="s">
        <v>64</v>
      </c>
      <c r="AQ4" s="13" t="s">
        <v>77</v>
      </c>
      <c r="AR4" s="24" t="s">
        <v>66</v>
      </c>
      <c r="AS4" s="24"/>
      <c r="AT4" s="25" t="s">
        <v>87</v>
      </c>
      <c r="AU4" s="26" t="s">
        <v>88</v>
      </c>
      <c r="AV4" s="27"/>
      <c r="AW4" s="24" t="s">
        <v>79</v>
      </c>
      <c r="AX4" s="27"/>
      <c r="AY4" s="29" t="s">
        <v>89</v>
      </c>
      <c r="AZ4" s="33"/>
      <c r="BA4" s="27"/>
      <c r="BB4" s="26" t="s">
        <v>90</v>
      </c>
      <c r="BC4" s="27"/>
      <c r="BD4" s="34" t="s">
        <v>91</v>
      </c>
      <c r="BE4" s="35"/>
      <c r="BF4" s="27"/>
      <c r="BG4" s="27"/>
      <c r="BH4" s="27"/>
    </row>
    <row r="5" ht="14.25" customHeight="1">
      <c r="A5" s="12" t="s">
        <v>92</v>
      </c>
      <c r="B5" s="12"/>
      <c r="C5" s="13"/>
      <c r="D5" s="14"/>
      <c r="E5" s="15"/>
      <c r="F5" s="15"/>
      <c r="G5" s="12"/>
      <c r="H5" s="16"/>
      <c r="I5" s="17">
        <v>0.5814</v>
      </c>
      <c r="J5" s="18"/>
      <c r="K5" s="18" t="s">
        <v>75</v>
      </c>
      <c r="L5" s="18" t="s">
        <v>76</v>
      </c>
      <c r="M5" s="18" t="s">
        <v>62</v>
      </c>
      <c r="N5" s="18"/>
      <c r="O5" s="18" t="s">
        <v>60</v>
      </c>
      <c r="P5" s="18" t="s">
        <v>60</v>
      </c>
      <c r="Q5" s="19" t="s">
        <v>60</v>
      </c>
      <c r="R5" s="15">
        <f t="shared" si="3"/>
        <v>0</v>
      </c>
      <c r="S5" s="15">
        <v>32.0</v>
      </c>
      <c r="T5" s="15">
        <v>14.0</v>
      </c>
      <c r="U5" s="20">
        <f t="shared" si="4"/>
        <v>0.4375</v>
      </c>
      <c r="V5" s="15">
        <f t="shared" si="5"/>
        <v>4</v>
      </c>
      <c r="W5" s="15">
        <v>18.0</v>
      </c>
      <c r="X5" s="20">
        <f t="shared" si="6"/>
        <v>0.5625</v>
      </c>
      <c r="Y5" s="15">
        <f t="shared" ref="Y5:Z5" si="14">AE5-W5</f>
        <v>0</v>
      </c>
      <c r="Z5" s="20">
        <f t="shared" si="14"/>
        <v>0</v>
      </c>
      <c r="AA5" s="15">
        <v>18.0</v>
      </c>
      <c r="AB5" s="20">
        <f t="shared" si="8"/>
        <v>0.5625</v>
      </c>
      <c r="AC5" s="15">
        <f t="shared" ref="AC5:AD5" si="15">AE5-AA5</f>
        <v>0</v>
      </c>
      <c r="AD5" s="20">
        <f t="shared" si="15"/>
        <v>0</v>
      </c>
      <c r="AE5" s="15">
        <v>18.0</v>
      </c>
      <c r="AF5" s="20">
        <f t="shared" si="10"/>
        <v>0.5625</v>
      </c>
      <c r="AG5" s="15">
        <v>18.0</v>
      </c>
      <c r="AH5" s="20">
        <f t="shared" si="11"/>
        <v>0.5625</v>
      </c>
      <c r="AI5" s="15">
        <v>18.0</v>
      </c>
      <c r="AJ5" s="15">
        <v>0.0</v>
      </c>
      <c r="AK5" s="21">
        <v>0.0</v>
      </c>
      <c r="AL5" s="22">
        <v>0.5625</v>
      </c>
      <c r="AM5" s="15">
        <v>14.0</v>
      </c>
      <c r="AN5" s="15">
        <v>10.0</v>
      </c>
      <c r="AO5" s="23" t="s">
        <v>63</v>
      </c>
      <c r="AP5" s="23" t="s">
        <v>64</v>
      </c>
      <c r="AQ5" s="13" t="s">
        <v>93</v>
      </c>
      <c r="AR5" s="24" t="s">
        <v>66</v>
      </c>
      <c r="AS5" s="24"/>
      <c r="AT5" s="25" t="s">
        <v>94</v>
      </c>
      <c r="AU5" s="26" t="s">
        <v>68</v>
      </c>
      <c r="AV5" s="27"/>
      <c r="AW5" s="24" t="s">
        <v>69</v>
      </c>
      <c r="AX5" s="28"/>
      <c r="AY5" s="29" t="s">
        <v>70</v>
      </c>
      <c r="AZ5" s="32"/>
      <c r="BA5" s="25" t="s">
        <v>95</v>
      </c>
      <c r="BB5" s="26" t="s">
        <v>72</v>
      </c>
      <c r="BC5" s="27"/>
      <c r="BD5" s="24" t="s">
        <v>96</v>
      </c>
      <c r="BE5" s="27"/>
      <c r="BF5" s="27"/>
      <c r="BG5" s="27"/>
      <c r="BH5" s="27"/>
    </row>
    <row r="6" ht="14.25" customHeight="1">
      <c r="A6" s="12" t="s">
        <v>97</v>
      </c>
      <c r="B6" s="12"/>
      <c r="C6" s="13"/>
      <c r="D6" s="14"/>
      <c r="E6" s="15"/>
      <c r="F6" s="15"/>
      <c r="G6" s="12"/>
      <c r="H6" s="16"/>
      <c r="I6" s="17">
        <v>0.4368</v>
      </c>
      <c r="J6" s="18"/>
      <c r="K6" s="18" t="s">
        <v>98</v>
      </c>
      <c r="L6" s="18" t="s">
        <v>76</v>
      </c>
      <c r="M6" s="18" t="s">
        <v>62</v>
      </c>
      <c r="N6" s="18"/>
      <c r="O6" s="18" t="s">
        <v>60</v>
      </c>
      <c r="P6" s="18" t="s">
        <v>60</v>
      </c>
      <c r="Q6" s="19" t="s">
        <v>60</v>
      </c>
      <c r="R6" s="15">
        <f t="shared" si="3"/>
        <v>0</v>
      </c>
      <c r="S6" s="15">
        <v>65.0</v>
      </c>
      <c r="T6" s="15">
        <v>23.0</v>
      </c>
      <c r="U6" s="20">
        <f t="shared" si="4"/>
        <v>0.3538461538</v>
      </c>
      <c r="V6" s="15">
        <f t="shared" si="5"/>
        <v>8</v>
      </c>
      <c r="W6" s="15">
        <v>31.0</v>
      </c>
      <c r="X6" s="20">
        <f t="shared" si="6"/>
        <v>0.4769230769</v>
      </c>
      <c r="Y6" s="15">
        <f t="shared" ref="Y6:Z6" si="16">AE6-W6</f>
        <v>0</v>
      </c>
      <c r="Z6" s="20">
        <f t="shared" si="16"/>
        <v>0</v>
      </c>
      <c r="AA6" s="15">
        <v>31.0</v>
      </c>
      <c r="AB6" s="20">
        <f t="shared" si="8"/>
        <v>0.4769230769</v>
      </c>
      <c r="AC6" s="15">
        <f t="shared" ref="AC6:AD6" si="17">AE6-AA6</f>
        <v>0</v>
      </c>
      <c r="AD6" s="20">
        <f t="shared" si="17"/>
        <v>0</v>
      </c>
      <c r="AE6" s="15">
        <v>31.0</v>
      </c>
      <c r="AF6" s="20">
        <f t="shared" si="10"/>
        <v>0.4769230769</v>
      </c>
      <c r="AG6" s="15">
        <v>31.0</v>
      </c>
      <c r="AH6" s="20">
        <f t="shared" si="11"/>
        <v>0.4769230769</v>
      </c>
      <c r="AI6" s="15">
        <v>31.0</v>
      </c>
      <c r="AJ6" s="15">
        <v>0.0</v>
      </c>
      <c r="AK6" s="21">
        <v>0.0</v>
      </c>
      <c r="AL6" s="22">
        <v>0.476923076923077</v>
      </c>
      <c r="AM6" s="15">
        <v>34.0</v>
      </c>
      <c r="AN6" s="15">
        <v>34.0</v>
      </c>
      <c r="AO6" s="23" t="s">
        <v>64</v>
      </c>
      <c r="AP6" s="23" t="s">
        <v>64</v>
      </c>
      <c r="AQ6" s="13" t="s">
        <v>93</v>
      </c>
      <c r="AR6" s="24" t="s">
        <v>66</v>
      </c>
      <c r="AS6" s="24"/>
      <c r="AT6" s="25" t="s">
        <v>99</v>
      </c>
      <c r="AU6" s="26" t="s">
        <v>68</v>
      </c>
      <c r="AV6" s="36"/>
      <c r="AW6" s="24" t="s">
        <v>100</v>
      </c>
      <c r="AX6" s="28"/>
      <c r="AY6" s="29" t="s">
        <v>70</v>
      </c>
      <c r="AZ6" s="30"/>
      <c r="BA6" s="25" t="s">
        <v>101</v>
      </c>
      <c r="BB6" s="26" t="s">
        <v>72</v>
      </c>
      <c r="BC6" s="27"/>
      <c r="BD6" s="24" t="s">
        <v>96</v>
      </c>
      <c r="BE6" s="27"/>
      <c r="BF6" s="27"/>
      <c r="BG6" s="27"/>
      <c r="BH6" s="27"/>
    </row>
    <row r="7" ht="14.25" customHeight="1">
      <c r="A7" s="12" t="s">
        <v>102</v>
      </c>
      <c r="B7" s="12"/>
      <c r="C7" s="13"/>
      <c r="D7" s="14"/>
      <c r="E7" s="15"/>
      <c r="F7" s="15"/>
      <c r="G7" s="12"/>
      <c r="H7" s="16"/>
      <c r="I7" s="17">
        <v>0.0</v>
      </c>
      <c r="J7" s="18"/>
      <c r="K7" s="18"/>
      <c r="L7" s="18" t="s">
        <v>84</v>
      </c>
      <c r="M7" s="18" t="s">
        <v>84</v>
      </c>
      <c r="N7" s="18"/>
      <c r="O7" s="18" t="s">
        <v>84</v>
      </c>
      <c r="P7" s="18" t="s">
        <v>86</v>
      </c>
      <c r="Q7" s="18" t="s">
        <v>103</v>
      </c>
      <c r="R7" s="15">
        <f t="shared" si="3"/>
        <v>0</v>
      </c>
      <c r="S7" s="15">
        <v>145.0</v>
      </c>
      <c r="T7" s="15">
        <v>0.0</v>
      </c>
      <c r="U7" s="20">
        <f t="shared" si="4"/>
        <v>0</v>
      </c>
      <c r="V7" s="15">
        <f t="shared" si="5"/>
        <v>33</v>
      </c>
      <c r="W7" s="15">
        <v>0.0</v>
      </c>
      <c r="X7" s="20">
        <f t="shared" si="6"/>
        <v>0</v>
      </c>
      <c r="Y7" s="15">
        <f t="shared" ref="Y7:Z7" si="18">AE7-W7</f>
        <v>33</v>
      </c>
      <c r="Z7" s="20">
        <f t="shared" si="18"/>
        <v>0.2275862069</v>
      </c>
      <c r="AA7" s="15">
        <v>0.0</v>
      </c>
      <c r="AB7" s="20">
        <f t="shared" si="8"/>
        <v>0</v>
      </c>
      <c r="AC7" s="15">
        <f t="shared" ref="AC7:AD7" si="19">AE7-AA7</f>
        <v>33</v>
      </c>
      <c r="AD7" s="20">
        <f t="shared" si="19"/>
        <v>0.2275862069</v>
      </c>
      <c r="AE7" s="15">
        <v>33.0</v>
      </c>
      <c r="AF7" s="20">
        <f t="shared" si="10"/>
        <v>0.2275862069</v>
      </c>
      <c r="AG7" s="15">
        <v>33.0</v>
      </c>
      <c r="AH7" s="20">
        <f t="shared" si="11"/>
        <v>0.2275862069</v>
      </c>
      <c r="AI7" s="15">
        <v>33.0</v>
      </c>
      <c r="AJ7" s="15">
        <v>0.0</v>
      </c>
      <c r="AK7" s="21">
        <v>0.0</v>
      </c>
      <c r="AL7" s="22">
        <v>0.227586206896552</v>
      </c>
      <c r="AM7" s="15">
        <v>112.0</v>
      </c>
      <c r="AN7" s="15">
        <v>112.0</v>
      </c>
      <c r="AO7" s="23" t="s">
        <v>64</v>
      </c>
      <c r="AP7" s="23" t="s">
        <v>64</v>
      </c>
      <c r="AQ7" s="13" t="s">
        <v>104</v>
      </c>
      <c r="AR7" s="24" t="s">
        <v>66</v>
      </c>
      <c r="AS7" s="24"/>
      <c r="AT7" s="25" t="s">
        <v>105</v>
      </c>
      <c r="AU7" s="26" t="s">
        <v>106</v>
      </c>
      <c r="AV7" s="27"/>
      <c r="AW7" s="27"/>
      <c r="AX7" s="28"/>
      <c r="AY7" s="29" t="s">
        <v>89</v>
      </c>
      <c r="AZ7" s="37"/>
      <c r="BA7" s="27"/>
      <c r="BB7" s="26" t="s">
        <v>90</v>
      </c>
      <c r="BC7" s="27"/>
      <c r="BD7" s="34" t="s">
        <v>91</v>
      </c>
      <c r="BE7" s="38"/>
      <c r="BF7" s="27"/>
      <c r="BG7" s="27"/>
      <c r="BH7" s="27"/>
    </row>
    <row r="8" ht="14.25" customHeight="1">
      <c r="A8" s="12" t="s">
        <v>107</v>
      </c>
      <c r="B8" s="39"/>
      <c r="C8" s="13"/>
      <c r="D8" s="14"/>
      <c r="E8" s="15"/>
      <c r="F8" s="15"/>
      <c r="G8" s="12"/>
      <c r="H8" s="16"/>
      <c r="I8" s="17">
        <v>0.148</v>
      </c>
      <c r="J8" s="18"/>
      <c r="K8" s="18" t="s">
        <v>98</v>
      </c>
      <c r="L8" s="18" t="s">
        <v>85</v>
      </c>
      <c r="M8" s="18" t="s">
        <v>62</v>
      </c>
      <c r="N8" s="18"/>
      <c r="O8" s="18" t="s">
        <v>85</v>
      </c>
      <c r="P8" s="18" t="s">
        <v>62</v>
      </c>
      <c r="Q8" s="18" t="s">
        <v>62</v>
      </c>
      <c r="R8" s="15">
        <f t="shared" si="3"/>
        <v>0</v>
      </c>
      <c r="S8" s="15">
        <v>405.0</v>
      </c>
      <c r="T8" s="15">
        <v>57.0</v>
      </c>
      <c r="U8" s="20">
        <f t="shared" si="4"/>
        <v>0.1407407407</v>
      </c>
      <c r="V8" s="15">
        <f t="shared" si="5"/>
        <v>27</v>
      </c>
      <c r="W8" s="15">
        <v>58.0</v>
      </c>
      <c r="X8" s="20">
        <f t="shared" si="6"/>
        <v>0.1432098765</v>
      </c>
      <c r="Y8" s="15">
        <f t="shared" ref="Y8:Z8" si="20">AE8-W8</f>
        <v>11</v>
      </c>
      <c r="Z8" s="20">
        <f t="shared" si="20"/>
        <v>0.02716049383</v>
      </c>
      <c r="AA8" s="15">
        <v>59.0</v>
      </c>
      <c r="AB8" s="20">
        <f t="shared" si="8"/>
        <v>0.1456790123</v>
      </c>
      <c r="AC8" s="15">
        <f t="shared" ref="AC8:AD8" si="21">AE8-AA8</f>
        <v>10</v>
      </c>
      <c r="AD8" s="20">
        <f t="shared" si="21"/>
        <v>0.02469135802</v>
      </c>
      <c r="AE8" s="15">
        <v>69.0</v>
      </c>
      <c r="AF8" s="20">
        <f t="shared" si="10"/>
        <v>0.1703703704</v>
      </c>
      <c r="AG8" s="15">
        <v>69.0</v>
      </c>
      <c r="AH8" s="20">
        <f t="shared" si="11"/>
        <v>0.1703703704</v>
      </c>
      <c r="AI8" s="15">
        <v>84.0</v>
      </c>
      <c r="AJ8" s="15">
        <v>0.0</v>
      </c>
      <c r="AK8" s="21">
        <v>0.0</v>
      </c>
      <c r="AL8" s="22">
        <v>0.207407407407407</v>
      </c>
      <c r="AM8" s="15">
        <v>321.0</v>
      </c>
      <c r="AN8" s="15">
        <v>266.0</v>
      </c>
      <c r="AO8" s="23" t="s">
        <v>64</v>
      </c>
      <c r="AP8" s="23" t="s">
        <v>64</v>
      </c>
      <c r="AQ8" s="13" t="s">
        <v>108</v>
      </c>
      <c r="AR8" s="24" t="s">
        <v>66</v>
      </c>
      <c r="AS8" s="24"/>
      <c r="AT8" s="25" t="s">
        <v>109</v>
      </c>
      <c r="AU8" s="26" t="s">
        <v>68</v>
      </c>
      <c r="AV8" s="40"/>
      <c r="AW8" s="24" t="s">
        <v>79</v>
      </c>
      <c r="AX8" s="28"/>
      <c r="AY8" s="29" t="s">
        <v>110</v>
      </c>
      <c r="AZ8" s="30"/>
      <c r="BA8" s="25" t="s">
        <v>111</v>
      </c>
      <c r="BB8" s="26" t="s">
        <v>72</v>
      </c>
      <c r="BC8" s="27"/>
      <c r="BD8" s="24" t="s">
        <v>112</v>
      </c>
      <c r="BE8" s="27"/>
      <c r="BF8" s="27"/>
      <c r="BG8" s="27"/>
      <c r="BH8" s="27"/>
    </row>
    <row r="9" ht="14.25" customHeight="1">
      <c r="A9" s="12" t="s">
        <v>113</v>
      </c>
      <c r="B9" s="12"/>
      <c r="C9" s="13"/>
      <c r="D9" s="14"/>
      <c r="E9" s="15"/>
      <c r="F9" s="19"/>
      <c r="G9" s="39"/>
      <c r="H9" s="18"/>
      <c r="I9" s="17">
        <v>1.0</v>
      </c>
      <c r="J9" s="18" t="s">
        <v>114</v>
      </c>
      <c r="K9" s="18" t="s">
        <v>115</v>
      </c>
      <c r="L9" s="18" t="s">
        <v>60</v>
      </c>
      <c r="M9" s="18" t="s">
        <v>60</v>
      </c>
      <c r="N9" s="18"/>
      <c r="O9" s="18" t="s">
        <v>60</v>
      </c>
      <c r="P9" s="18" t="s">
        <v>60</v>
      </c>
      <c r="Q9" s="19" t="s">
        <v>60</v>
      </c>
      <c r="R9" s="15">
        <f t="shared" si="3"/>
        <v>0</v>
      </c>
      <c r="S9" s="15">
        <v>32.0</v>
      </c>
      <c r="T9" s="15">
        <v>32.0</v>
      </c>
      <c r="U9" s="20">
        <f t="shared" si="4"/>
        <v>1</v>
      </c>
      <c r="V9" s="15">
        <f t="shared" si="5"/>
        <v>0</v>
      </c>
      <c r="W9" s="15">
        <v>32.0</v>
      </c>
      <c r="X9" s="20">
        <f t="shared" si="6"/>
        <v>1</v>
      </c>
      <c r="Y9" s="15">
        <f t="shared" ref="Y9:Z9" si="22">AE9-W9</f>
        <v>0</v>
      </c>
      <c r="Z9" s="20">
        <f t="shared" si="22"/>
        <v>0</v>
      </c>
      <c r="AA9" s="15">
        <v>32.0</v>
      </c>
      <c r="AB9" s="20">
        <f t="shared" si="8"/>
        <v>1</v>
      </c>
      <c r="AC9" s="15">
        <f t="shared" ref="AC9:AD9" si="23">AE9-AA9</f>
        <v>0</v>
      </c>
      <c r="AD9" s="20">
        <f t="shared" si="23"/>
        <v>0</v>
      </c>
      <c r="AE9" s="15">
        <v>32.0</v>
      </c>
      <c r="AF9" s="20">
        <f t="shared" si="10"/>
        <v>1</v>
      </c>
      <c r="AG9" s="15">
        <v>32.0</v>
      </c>
      <c r="AH9" s="20">
        <f t="shared" si="11"/>
        <v>1</v>
      </c>
      <c r="AI9" s="15">
        <v>32.0</v>
      </c>
      <c r="AJ9" s="15">
        <v>0.0</v>
      </c>
      <c r="AK9" s="21">
        <v>0.0</v>
      </c>
      <c r="AL9" s="22">
        <v>1.0</v>
      </c>
      <c r="AM9" s="15">
        <v>0.0</v>
      </c>
      <c r="AN9" s="15">
        <v>0.0</v>
      </c>
      <c r="AO9" s="23" t="s">
        <v>64</v>
      </c>
      <c r="AP9" s="23" t="s">
        <v>64</v>
      </c>
      <c r="AQ9" s="13" t="s">
        <v>77</v>
      </c>
      <c r="AR9" s="24" t="s">
        <v>66</v>
      </c>
      <c r="AS9" s="24"/>
      <c r="AT9" s="25" t="s">
        <v>116</v>
      </c>
      <c r="AU9" s="26" t="s">
        <v>68</v>
      </c>
      <c r="AV9" s="27"/>
      <c r="AW9" s="24" t="s">
        <v>100</v>
      </c>
      <c r="AX9" s="28"/>
      <c r="AY9" s="29" t="s">
        <v>70</v>
      </c>
      <c r="AZ9" s="32"/>
      <c r="BA9" s="25" t="s">
        <v>117</v>
      </c>
      <c r="BB9" s="26" t="s">
        <v>118</v>
      </c>
      <c r="BC9" s="27"/>
      <c r="BD9" s="24"/>
      <c r="BE9" s="27"/>
      <c r="BF9" s="27"/>
      <c r="BG9" s="27"/>
      <c r="BH9" s="27"/>
    </row>
    <row r="10" ht="14.25" customHeight="1">
      <c r="A10" s="12" t="s">
        <v>119</v>
      </c>
      <c r="B10" s="12"/>
      <c r="C10" s="13"/>
      <c r="D10" s="14"/>
      <c r="E10" s="15"/>
      <c r="F10" s="15"/>
      <c r="G10" s="12"/>
      <c r="H10" s="16"/>
      <c r="I10" s="17">
        <v>0.1333</v>
      </c>
      <c r="J10" s="18"/>
      <c r="K10" s="18" t="s">
        <v>62</v>
      </c>
      <c r="L10" s="18" t="s">
        <v>62</v>
      </c>
      <c r="M10" s="18" t="s">
        <v>62</v>
      </c>
      <c r="N10" s="18"/>
      <c r="O10" s="18" t="s">
        <v>120</v>
      </c>
      <c r="P10" s="18" t="s">
        <v>120</v>
      </c>
      <c r="Q10" s="19" t="s">
        <v>120</v>
      </c>
      <c r="R10" s="15">
        <f t="shared" si="3"/>
        <v>0</v>
      </c>
      <c r="S10" s="15">
        <v>70.0</v>
      </c>
      <c r="T10" s="15">
        <v>8.0</v>
      </c>
      <c r="U10" s="20">
        <f t="shared" si="4"/>
        <v>0.1142857143</v>
      </c>
      <c r="V10" s="15">
        <f t="shared" si="5"/>
        <v>23</v>
      </c>
      <c r="W10" s="15">
        <v>19.0</v>
      </c>
      <c r="X10" s="20">
        <f t="shared" si="6"/>
        <v>0.2714285714</v>
      </c>
      <c r="Y10" s="15">
        <f t="shared" ref="Y10:Z10" si="24">AE10-W10</f>
        <v>-1</v>
      </c>
      <c r="Z10" s="20">
        <f t="shared" si="24"/>
        <v>-0.01428571429</v>
      </c>
      <c r="AA10" s="15">
        <v>19.0</v>
      </c>
      <c r="AB10" s="20">
        <f t="shared" si="8"/>
        <v>0.2714285714</v>
      </c>
      <c r="AC10" s="15">
        <f t="shared" ref="AC10:AD10" si="25">AE10-AA10</f>
        <v>-1</v>
      </c>
      <c r="AD10" s="20">
        <f t="shared" si="25"/>
        <v>-0.01428571429</v>
      </c>
      <c r="AE10" s="15">
        <v>18.0</v>
      </c>
      <c r="AF10" s="20">
        <f t="shared" si="10"/>
        <v>0.2571428571</v>
      </c>
      <c r="AG10" s="15">
        <v>18.0</v>
      </c>
      <c r="AH10" s="20">
        <f t="shared" si="11"/>
        <v>0.2571428571</v>
      </c>
      <c r="AI10" s="15">
        <v>31.0</v>
      </c>
      <c r="AJ10" s="15">
        <v>0.0</v>
      </c>
      <c r="AK10" s="21">
        <v>0.0</v>
      </c>
      <c r="AL10" s="22">
        <v>0.442857142857143</v>
      </c>
      <c r="AM10" s="15">
        <v>39.0</v>
      </c>
      <c r="AN10" s="15">
        <v>39.0</v>
      </c>
      <c r="AO10" s="23" t="s">
        <v>64</v>
      </c>
      <c r="AP10" s="23" t="s">
        <v>64</v>
      </c>
      <c r="AQ10" s="13" t="s">
        <v>108</v>
      </c>
      <c r="AR10" s="24" t="s">
        <v>66</v>
      </c>
      <c r="AS10" s="24"/>
      <c r="AT10" s="25" t="s">
        <v>121</v>
      </c>
      <c r="AU10" s="26" t="s">
        <v>88</v>
      </c>
      <c r="AV10" s="27"/>
      <c r="AW10" s="24" t="s">
        <v>100</v>
      </c>
      <c r="AX10" s="28"/>
      <c r="AY10" s="29" t="s">
        <v>122</v>
      </c>
      <c r="AZ10" s="30"/>
      <c r="BA10" s="25" t="s">
        <v>123</v>
      </c>
      <c r="BB10" s="26" t="s">
        <v>118</v>
      </c>
      <c r="BC10" s="27"/>
      <c r="BD10" s="24"/>
      <c r="BE10" s="27"/>
      <c r="BF10" s="27"/>
      <c r="BG10" s="27"/>
      <c r="BH10" s="27"/>
    </row>
    <row r="11" ht="14.25" customHeight="1">
      <c r="A11" s="12" t="s">
        <v>124</v>
      </c>
      <c r="B11" s="12"/>
      <c r="C11" s="13"/>
      <c r="D11" s="14"/>
      <c r="E11" s="15"/>
      <c r="F11" s="15"/>
      <c r="G11" s="12"/>
      <c r="H11" s="16"/>
      <c r="I11" s="41">
        <v>0.125</v>
      </c>
      <c r="J11" s="19"/>
      <c r="K11" s="19"/>
      <c r="L11" s="19" t="s">
        <v>84</v>
      </c>
      <c r="M11" s="19" t="s">
        <v>62</v>
      </c>
      <c r="N11" s="19"/>
      <c r="O11" s="19" t="s">
        <v>62</v>
      </c>
      <c r="P11" s="19" t="s">
        <v>62</v>
      </c>
      <c r="Q11" s="19" t="s">
        <v>62</v>
      </c>
      <c r="R11" s="15">
        <f t="shared" si="3"/>
        <v>0</v>
      </c>
      <c r="S11" s="15">
        <v>23.0</v>
      </c>
      <c r="T11" s="15">
        <v>1.0</v>
      </c>
      <c r="U11" s="20">
        <f t="shared" si="4"/>
        <v>0.04347826087</v>
      </c>
      <c r="V11" s="15">
        <f t="shared" si="5"/>
        <v>22</v>
      </c>
      <c r="W11" s="15">
        <v>1.0</v>
      </c>
      <c r="X11" s="20">
        <f t="shared" si="6"/>
        <v>0.04347826087</v>
      </c>
      <c r="Y11" s="15">
        <f t="shared" ref="Y11:Z11" si="26">AE11-W11</f>
        <v>22</v>
      </c>
      <c r="Z11" s="20">
        <f t="shared" si="26"/>
        <v>0.9565217391</v>
      </c>
      <c r="AA11" s="15">
        <v>2.0</v>
      </c>
      <c r="AB11" s="20">
        <f t="shared" si="8"/>
        <v>0.08695652174</v>
      </c>
      <c r="AC11" s="15">
        <f t="shared" ref="AC11:AD11" si="27">AE11-AA11</f>
        <v>21</v>
      </c>
      <c r="AD11" s="20">
        <f t="shared" si="27"/>
        <v>0.9130434783</v>
      </c>
      <c r="AE11" s="15">
        <v>23.0</v>
      </c>
      <c r="AF11" s="20">
        <f t="shared" si="10"/>
        <v>1</v>
      </c>
      <c r="AG11" s="15" t="e">
        <v>#N/A</v>
      </c>
      <c r="AH11" s="20" t="str">
        <f t="shared" si="11"/>
        <v>#N/A</v>
      </c>
      <c r="AI11" s="15">
        <v>23.0</v>
      </c>
      <c r="AJ11" s="15">
        <v>0.0</v>
      </c>
      <c r="AK11" s="21">
        <v>0.0</v>
      </c>
      <c r="AL11" s="22">
        <v>1.0</v>
      </c>
      <c r="AM11" s="15">
        <v>0.0</v>
      </c>
      <c r="AN11" s="15">
        <v>0.0</v>
      </c>
      <c r="AO11" s="23" t="s">
        <v>63</v>
      </c>
      <c r="AP11" s="23" t="s">
        <v>64</v>
      </c>
      <c r="AQ11" s="13" t="e">
        <v>#N/A</v>
      </c>
      <c r="AR11" s="24" t="s">
        <v>66</v>
      </c>
      <c r="AS11" s="24"/>
      <c r="AT11" s="25" t="s">
        <v>125</v>
      </c>
      <c r="AU11" s="26" t="s">
        <v>68</v>
      </c>
      <c r="AV11" s="36"/>
      <c r="AW11" s="24" t="s">
        <v>69</v>
      </c>
      <c r="AX11" s="28"/>
      <c r="AY11" s="29" t="s">
        <v>89</v>
      </c>
      <c r="AZ11" s="37"/>
      <c r="BA11" s="27"/>
      <c r="BB11" s="26" t="s">
        <v>90</v>
      </c>
      <c r="BC11" s="27"/>
      <c r="BD11" s="34" t="s">
        <v>91</v>
      </c>
      <c r="BE11" s="38"/>
      <c r="BF11" s="27"/>
      <c r="BG11" s="27"/>
      <c r="BH11" s="27"/>
    </row>
    <row r="12" ht="14.25" customHeight="1">
      <c r="A12" s="12" t="s">
        <v>126</v>
      </c>
      <c r="B12" s="12"/>
      <c r="C12" s="13"/>
      <c r="D12" s="14"/>
      <c r="E12" s="15"/>
      <c r="F12" s="15"/>
      <c r="G12" s="12"/>
      <c r="H12" s="16"/>
      <c r="I12" s="17">
        <v>0.0833</v>
      </c>
      <c r="J12" s="18" t="s">
        <v>127</v>
      </c>
      <c r="K12" s="18" t="s">
        <v>98</v>
      </c>
      <c r="L12" s="18" t="s">
        <v>85</v>
      </c>
      <c r="M12" s="18" t="s">
        <v>85</v>
      </c>
      <c r="N12" s="18" t="s">
        <v>62</v>
      </c>
      <c r="O12" s="18" t="s">
        <v>86</v>
      </c>
      <c r="P12" s="18" t="s">
        <v>128</v>
      </c>
      <c r="Q12" s="19" t="s">
        <v>129</v>
      </c>
      <c r="R12" s="15">
        <f t="shared" si="3"/>
        <v>0</v>
      </c>
      <c r="S12" s="15">
        <v>198.0</v>
      </c>
      <c r="T12" s="15">
        <v>11.0</v>
      </c>
      <c r="U12" s="20">
        <f t="shared" si="4"/>
        <v>0.05555555556</v>
      </c>
      <c r="V12" s="15">
        <f t="shared" si="5"/>
        <v>29</v>
      </c>
      <c r="W12" s="15">
        <v>16.0</v>
      </c>
      <c r="X12" s="20">
        <f t="shared" si="6"/>
        <v>0.08080808081</v>
      </c>
      <c r="Y12" s="15">
        <f t="shared" ref="Y12:Z12" si="28">AE12-W12</f>
        <v>5</v>
      </c>
      <c r="Z12" s="20">
        <f t="shared" si="28"/>
        <v>0.02525252525</v>
      </c>
      <c r="AA12" s="15">
        <v>20.0</v>
      </c>
      <c r="AB12" s="20">
        <f t="shared" si="8"/>
        <v>0.101010101</v>
      </c>
      <c r="AC12" s="15">
        <f t="shared" ref="AC12:AD12" si="29">AE12-AA12</f>
        <v>1</v>
      </c>
      <c r="AD12" s="20">
        <f t="shared" si="29"/>
        <v>0.005050505051</v>
      </c>
      <c r="AE12" s="15">
        <v>21.0</v>
      </c>
      <c r="AF12" s="20">
        <f t="shared" si="10"/>
        <v>0.1060606061</v>
      </c>
      <c r="AG12" s="15">
        <v>21.0</v>
      </c>
      <c r="AH12" s="20">
        <f t="shared" si="11"/>
        <v>0.1060606061</v>
      </c>
      <c r="AI12" s="15">
        <v>40.0</v>
      </c>
      <c r="AJ12" s="15">
        <v>0.0</v>
      </c>
      <c r="AK12" s="21">
        <v>0.0</v>
      </c>
      <c r="AL12" s="22">
        <v>0.202020202020202</v>
      </c>
      <c r="AM12" s="15">
        <v>153.0</v>
      </c>
      <c r="AN12" s="15">
        <v>147.0</v>
      </c>
      <c r="AO12" s="23" t="s">
        <v>64</v>
      </c>
      <c r="AP12" s="23" t="s">
        <v>64</v>
      </c>
      <c r="AQ12" s="13" t="s">
        <v>77</v>
      </c>
      <c r="AR12" s="24" t="s">
        <v>130</v>
      </c>
      <c r="AS12" s="24"/>
      <c r="AT12" s="25" t="s">
        <v>131</v>
      </c>
      <c r="AU12" s="26" t="s">
        <v>132</v>
      </c>
      <c r="AV12" s="36"/>
      <c r="AW12" s="24" t="s">
        <v>133</v>
      </c>
      <c r="AX12" s="42">
        <v>46002.0</v>
      </c>
      <c r="AY12" s="29" t="s">
        <v>134</v>
      </c>
      <c r="AZ12" s="33"/>
      <c r="BA12" s="27"/>
      <c r="BB12" s="26" t="s">
        <v>90</v>
      </c>
      <c r="BC12" s="27"/>
      <c r="BD12" s="34" t="s">
        <v>91</v>
      </c>
      <c r="BE12" s="35"/>
      <c r="BF12" s="27"/>
      <c r="BG12" s="27"/>
      <c r="BH12" s="27"/>
    </row>
    <row r="13" ht="14.25" customHeight="1">
      <c r="A13" s="12" t="s">
        <v>135</v>
      </c>
      <c r="B13" s="12"/>
      <c r="C13" s="13"/>
      <c r="D13" s="14"/>
      <c r="E13" s="15"/>
      <c r="F13" s="15"/>
      <c r="G13" s="12"/>
      <c r="H13" s="16"/>
      <c r="I13" s="17">
        <v>0.0</v>
      </c>
      <c r="J13" s="18"/>
      <c r="K13" s="18"/>
      <c r="L13" s="18" t="s">
        <v>84</v>
      </c>
      <c r="M13" s="18" t="s">
        <v>84</v>
      </c>
      <c r="N13" s="18"/>
      <c r="O13" s="18" t="s">
        <v>84</v>
      </c>
      <c r="P13" s="18" t="s">
        <v>86</v>
      </c>
      <c r="Q13" s="18" t="s">
        <v>129</v>
      </c>
      <c r="R13" s="15">
        <f t="shared" si="3"/>
        <v>0</v>
      </c>
      <c r="S13" s="15">
        <v>53.0</v>
      </c>
      <c r="T13" s="15">
        <v>0.0</v>
      </c>
      <c r="U13" s="20">
        <f t="shared" si="4"/>
        <v>0</v>
      </c>
      <c r="V13" s="15">
        <f t="shared" si="5"/>
        <v>44</v>
      </c>
      <c r="W13" s="15">
        <v>0.0</v>
      </c>
      <c r="X13" s="20">
        <f t="shared" si="6"/>
        <v>0</v>
      </c>
      <c r="Y13" s="15">
        <f t="shared" ref="Y13:Z13" si="30">AE13-W13</f>
        <v>13</v>
      </c>
      <c r="Z13" s="20">
        <f t="shared" si="30"/>
        <v>0.2452830189</v>
      </c>
      <c r="AA13" s="15">
        <v>12.0</v>
      </c>
      <c r="AB13" s="20">
        <f t="shared" si="8"/>
        <v>0.2264150943</v>
      </c>
      <c r="AC13" s="15">
        <f t="shared" ref="AC13:AD13" si="31">AE13-AA13</f>
        <v>1</v>
      </c>
      <c r="AD13" s="20">
        <f t="shared" si="31"/>
        <v>0.01886792453</v>
      </c>
      <c r="AE13" s="15">
        <v>13.0</v>
      </c>
      <c r="AF13" s="20">
        <f t="shared" si="10"/>
        <v>0.2452830189</v>
      </c>
      <c r="AG13" s="15">
        <v>13.0</v>
      </c>
      <c r="AH13" s="20">
        <f t="shared" si="11"/>
        <v>0.2452830189</v>
      </c>
      <c r="AI13" s="15">
        <v>44.0</v>
      </c>
      <c r="AJ13" s="15">
        <v>0.0</v>
      </c>
      <c r="AK13" s="21">
        <v>0.0</v>
      </c>
      <c r="AL13" s="22">
        <v>0.830188679245283</v>
      </c>
      <c r="AM13" s="15">
        <v>0.0</v>
      </c>
      <c r="AN13" s="15">
        <v>9.0</v>
      </c>
      <c r="AO13" s="23" t="s">
        <v>64</v>
      </c>
      <c r="AP13" s="23" t="s">
        <v>64</v>
      </c>
      <c r="AQ13" s="13" t="s">
        <v>93</v>
      </c>
      <c r="AR13" s="24" t="s">
        <v>130</v>
      </c>
      <c r="AS13" s="24"/>
      <c r="AT13" s="25" t="s">
        <v>136</v>
      </c>
      <c r="AU13" s="26" t="s">
        <v>88</v>
      </c>
      <c r="AV13" s="27"/>
      <c r="AW13" s="24" t="s">
        <v>100</v>
      </c>
      <c r="AX13" s="27"/>
      <c r="AY13" s="29" t="s">
        <v>89</v>
      </c>
      <c r="AZ13" s="37"/>
      <c r="BA13" s="27"/>
      <c r="BB13" s="26" t="s">
        <v>90</v>
      </c>
      <c r="BC13" s="27"/>
      <c r="BD13" s="34" t="s">
        <v>91</v>
      </c>
      <c r="BE13" s="38"/>
      <c r="BF13" s="27"/>
      <c r="BG13" s="27"/>
      <c r="BH13" s="27"/>
    </row>
    <row r="14" ht="14.25" customHeight="1">
      <c r="A14" s="43" t="s">
        <v>137</v>
      </c>
      <c r="B14" s="43"/>
      <c r="C14" s="44"/>
      <c r="D14" s="45"/>
      <c r="E14" s="46"/>
      <c r="F14" s="46"/>
      <c r="G14" s="43"/>
      <c r="H14" s="47"/>
      <c r="I14" s="17">
        <v>0.0392</v>
      </c>
      <c r="J14" s="18"/>
      <c r="K14" s="18" t="s">
        <v>62</v>
      </c>
      <c r="L14" s="18" t="s">
        <v>85</v>
      </c>
      <c r="M14" s="18" t="s">
        <v>62</v>
      </c>
      <c r="N14" s="18"/>
      <c r="O14" s="18" t="s">
        <v>60</v>
      </c>
      <c r="P14" s="18" t="s">
        <v>60</v>
      </c>
      <c r="Q14" s="19" t="s">
        <v>60</v>
      </c>
      <c r="R14" s="46">
        <f t="shared" si="3"/>
        <v>0</v>
      </c>
      <c r="S14" s="46">
        <v>40.0</v>
      </c>
      <c r="T14" s="15">
        <v>0.0</v>
      </c>
      <c r="U14" s="20">
        <f t="shared" si="4"/>
        <v>0</v>
      </c>
      <c r="V14" s="15">
        <f t="shared" si="5"/>
        <v>18</v>
      </c>
      <c r="W14" s="15">
        <v>18.0</v>
      </c>
      <c r="X14" s="20">
        <f t="shared" si="6"/>
        <v>0.45</v>
      </c>
      <c r="Y14" s="15">
        <f t="shared" ref="Y14:Z14" si="32">AE14-W14</f>
        <v>0</v>
      </c>
      <c r="Z14" s="20">
        <f t="shared" si="32"/>
        <v>0</v>
      </c>
      <c r="AA14" s="15">
        <v>18.0</v>
      </c>
      <c r="AB14" s="20">
        <f t="shared" si="8"/>
        <v>0.45</v>
      </c>
      <c r="AC14" s="15">
        <f t="shared" ref="AC14:AD14" si="33">AE14-AA14</f>
        <v>0</v>
      </c>
      <c r="AD14" s="20">
        <f t="shared" si="33"/>
        <v>0</v>
      </c>
      <c r="AE14" s="46">
        <v>18.0</v>
      </c>
      <c r="AF14" s="48">
        <f t="shared" si="10"/>
        <v>0.45</v>
      </c>
      <c r="AG14" s="46">
        <v>18.0</v>
      </c>
      <c r="AH14" s="48">
        <f t="shared" si="11"/>
        <v>0.45</v>
      </c>
      <c r="AI14" s="46">
        <v>18.0</v>
      </c>
      <c r="AJ14" s="46">
        <v>0.0</v>
      </c>
      <c r="AK14" s="49">
        <v>0.0</v>
      </c>
      <c r="AL14" s="50">
        <v>0.45</v>
      </c>
      <c r="AM14" s="46">
        <v>22.0</v>
      </c>
      <c r="AN14" s="46">
        <v>19.0</v>
      </c>
      <c r="AO14" s="51" t="s">
        <v>63</v>
      </c>
      <c r="AP14" s="51" t="s">
        <v>64</v>
      </c>
      <c r="AQ14" s="44" t="s">
        <v>104</v>
      </c>
      <c r="AR14" s="34" t="s">
        <v>66</v>
      </c>
      <c r="AS14" s="34"/>
      <c r="AT14" s="52" t="s">
        <v>138</v>
      </c>
      <c r="AU14" s="53" t="s">
        <v>68</v>
      </c>
      <c r="AV14" s="54"/>
      <c r="AW14" s="34" t="s">
        <v>54</v>
      </c>
      <c r="AX14" s="52" t="s">
        <v>139</v>
      </c>
      <c r="AY14" s="29" t="s">
        <v>70</v>
      </c>
      <c r="AZ14" s="30"/>
      <c r="BA14" s="52" t="s">
        <v>140</v>
      </c>
      <c r="BB14" s="26" t="s">
        <v>72</v>
      </c>
      <c r="BC14" s="34" t="s">
        <v>141</v>
      </c>
      <c r="BD14" s="24" t="s">
        <v>73</v>
      </c>
      <c r="BE14" s="54"/>
      <c r="BF14" s="54"/>
      <c r="BG14" s="54"/>
      <c r="BH14" s="54"/>
    </row>
    <row r="15" ht="14.25" customHeight="1">
      <c r="A15" s="12" t="s">
        <v>142</v>
      </c>
      <c r="B15" s="12"/>
      <c r="C15" s="13"/>
      <c r="D15" s="14"/>
      <c r="E15" s="15"/>
      <c r="F15" s="15"/>
      <c r="G15" s="12"/>
      <c r="H15" s="16"/>
      <c r="I15" s="17">
        <v>0.0</v>
      </c>
      <c r="J15" s="18"/>
      <c r="K15" s="18"/>
      <c r="L15" s="18" t="s">
        <v>84</v>
      </c>
      <c r="M15" s="18" t="s">
        <v>84</v>
      </c>
      <c r="N15" s="18"/>
      <c r="O15" s="18" t="s">
        <v>84</v>
      </c>
      <c r="P15" s="18" t="s">
        <v>84</v>
      </c>
      <c r="Q15" s="18" t="s">
        <v>84</v>
      </c>
      <c r="R15" s="15">
        <f t="shared" si="3"/>
        <v>0</v>
      </c>
      <c r="S15" s="15">
        <v>36.0</v>
      </c>
      <c r="T15" s="15">
        <v>0.0</v>
      </c>
      <c r="U15" s="20">
        <f t="shared" si="4"/>
        <v>0</v>
      </c>
      <c r="V15" s="15">
        <f t="shared" si="5"/>
        <v>10</v>
      </c>
      <c r="W15" s="15">
        <v>0.0</v>
      </c>
      <c r="X15" s="20">
        <f t="shared" si="6"/>
        <v>0</v>
      </c>
      <c r="Y15" s="15">
        <f t="shared" ref="Y15:Z15" si="34">AE15-W15</f>
        <v>10</v>
      </c>
      <c r="Z15" s="20">
        <f t="shared" si="34"/>
        <v>0.2777777778</v>
      </c>
      <c r="AA15" s="15">
        <v>0.0</v>
      </c>
      <c r="AB15" s="20">
        <f t="shared" si="8"/>
        <v>0</v>
      </c>
      <c r="AC15" s="15">
        <f t="shared" ref="AC15:AD15" si="35">AE15-AA15</f>
        <v>10</v>
      </c>
      <c r="AD15" s="20">
        <f t="shared" si="35"/>
        <v>0.2777777778</v>
      </c>
      <c r="AE15" s="15">
        <v>10.0</v>
      </c>
      <c r="AF15" s="20">
        <f t="shared" si="10"/>
        <v>0.2777777778</v>
      </c>
      <c r="AG15" s="15">
        <v>10.0</v>
      </c>
      <c r="AH15" s="20">
        <f t="shared" si="11"/>
        <v>0.2777777778</v>
      </c>
      <c r="AI15" s="15">
        <v>10.0</v>
      </c>
      <c r="AJ15" s="15">
        <v>0.0</v>
      </c>
      <c r="AK15" s="21">
        <v>0.0</v>
      </c>
      <c r="AL15" s="22">
        <v>0.277777777777778</v>
      </c>
      <c r="AM15" s="15">
        <v>26.0</v>
      </c>
      <c r="AN15" s="15">
        <v>26.0</v>
      </c>
      <c r="AO15" s="23" t="s">
        <v>64</v>
      </c>
      <c r="AP15" s="23" t="s">
        <v>64</v>
      </c>
      <c r="AQ15" s="13" t="s">
        <v>108</v>
      </c>
      <c r="AR15" s="24" t="s">
        <v>66</v>
      </c>
      <c r="AS15" s="24"/>
      <c r="AT15" s="25" t="s">
        <v>143</v>
      </c>
      <c r="AU15" s="26" t="s">
        <v>106</v>
      </c>
      <c r="AV15" s="27"/>
      <c r="AW15" s="24" t="s">
        <v>69</v>
      </c>
      <c r="AX15" s="28"/>
      <c r="AY15" s="29" t="s">
        <v>89</v>
      </c>
      <c r="AZ15" s="37"/>
      <c r="BA15" s="27"/>
      <c r="BB15" s="26" t="s">
        <v>90</v>
      </c>
      <c r="BC15" s="27"/>
      <c r="BD15" s="34" t="s">
        <v>91</v>
      </c>
      <c r="BE15" s="38"/>
      <c r="BF15" s="27"/>
      <c r="BG15" s="27"/>
      <c r="BH15" s="27"/>
    </row>
    <row r="16" ht="14.25" customHeight="1">
      <c r="A16" s="12" t="s">
        <v>144</v>
      </c>
      <c r="B16" s="12"/>
      <c r="C16" s="13"/>
      <c r="D16" s="14"/>
      <c r="E16" s="15"/>
      <c r="F16" s="19"/>
      <c r="G16" s="39"/>
      <c r="H16" s="18"/>
      <c r="I16" s="17">
        <v>0.0615</v>
      </c>
      <c r="J16" s="18"/>
      <c r="K16" s="18" t="s">
        <v>62</v>
      </c>
      <c r="L16" s="18" t="s">
        <v>62</v>
      </c>
      <c r="M16" s="18" t="s">
        <v>62</v>
      </c>
      <c r="N16" s="18"/>
      <c r="O16" s="18" t="s">
        <v>62</v>
      </c>
      <c r="P16" s="18" t="s">
        <v>62</v>
      </c>
      <c r="Q16" s="18" t="s">
        <v>62</v>
      </c>
      <c r="R16" s="15">
        <f t="shared" si="3"/>
        <v>0</v>
      </c>
      <c r="S16" s="15">
        <v>43.0</v>
      </c>
      <c r="T16" s="15">
        <v>1.0</v>
      </c>
      <c r="U16" s="20">
        <f t="shared" si="4"/>
        <v>0.02325581395</v>
      </c>
      <c r="V16" s="15">
        <f t="shared" si="5"/>
        <v>15</v>
      </c>
      <c r="W16" s="15">
        <v>1.0</v>
      </c>
      <c r="X16" s="20">
        <f t="shared" si="6"/>
        <v>0.02325581395</v>
      </c>
      <c r="Y16" s="15">
        <f t="shared" ref="Y16:Z16" si="36">AE16-W16</f>
        <v>15</v>
      </c>
      <c r="Z16" s="20">
        <f t="shared" si="36"/>
        <v>0.3488372093</v>
      </c>
      <c r="AA16" s="15">
        <v>1.0</v>
      </c>
      <c r="AB16" s="20">
        <f t="shared" si="8"/>
        <v>0.02325581395</v>
      </c>
      <c r="AC16" s="15">
        <f t="shared" ref="AC16:AD16" si="37">AE16-AA16</f>
        <v>15</v>
      </c>
      <c r="AD16" s="20">
        <f t="shared" si="37"/>
        <v>0.3488372093</v>
      </c>
      <c r="AE16" s="15">
        <v>16.0</v>
      </c>
      <c r="AF16" s="20">
        <f t="shared" si="10"/>
        <v>0.3720930233</v>
      </c>
      <c r="AG16" s="15">
        <v>16.0</v>
      </c>
      <c r="AH16" s="20">
        <f t="shared" si="11"/>
        <v>0.3720930233</v>
      </c>
      <c r="AI16" s="15">
        <v>16.0</v>
      </c>
      <c r="AJ16" s="15">
        <v>0.0</v>
      </c>
      <c r="AK16" s="21">
        <v>0.0</v>
      </c>
      <c r="AL16" s="22">
        <v>0.372093023255814</v>
      </c>
      <c r="AM16" s="15">
        <v>0.0</v>
      </c>
      <c r="AN16" s="15">
        <v>27.0</v>
      </c>
      <c r="AO16" s="23" t="s">
        <v>63</v>
      </c>
      <c r="AP16" s="23" t="s">
        <v>64</v>
      </c>
      <c r="AQ16" s="13" t="s">
        <v>77</v>
      </c>
      <c r="AR16" s="24" t="s">
        <v>130</v>
      </c>
      <c r="AS16" s="24"/>
      <c r="AT16" s="55" t="s">
        <v>145</v>
      </c>
      <c r="AU16" s="26" t="s">
        <v>118</v>
      </c>
      <c r="AV16" s="27"/>
      <c r="AW16" s="24" t="s">
        <v>133</v>
      </c>
      <c r="AX16" s="56">
        <v>46000.0</v>
      </c>
      <c r="AY16" s="29" t="s">
        <v>89</v>
      </c>
      <c r="AZ16" s="33"/>
      <c r="BA16" s="27"/>
      <c r="BB16" s="26" t="s">
        <v>90</v>
      </c>
      <c r="BC16" s="27"/>
      <c r="BD16" s="34" t="s">
        <v>91</v>
      </c>
      <c r="BE16" s="35"/>
      <c r="BF16" s="27"/>
      <c r="BG16" s="27"/>
      <c r="BH16" s="27"/>
    </row>
    <row r="17" ht="14.25" customHeight="1">
      <c r="A17" s="57" t="s">
        <v>146</v>
      </c>
      <c r="B17" s="57"/>
      <c r="C17" s="13"/>
      <c r="D17" s="14"/>
      <c r="E17" s="15"/>
      <c r="F17" s="19"/>
      <c r="G17" s="12"/>
      <c r="H17" s="18"/>
      <c r="I17" s="17">
        <v>0.1369</v>
      </c>
      <c r="J17" s="18"/>
      <c r="K17" s="18" t="s">
        <v>62</v>
      </c>
      <c r="L17" s="18" t="s">
        <v>62</v>
      </c>
      <c r="M17" s="18" t="s">
        <v>62</v>
      </c>
      <c r="N17" s="18" t="s">
        <v>85</v>
      </c>
      <c r="O17" s="18" t="s">
        <v>85</v>
      </c>
      <c r="P17" s="18" t="s">
        <v>62</v>
      </c>
      <c r="Q17" s="18" t="s">
        <v>62</v>
      </c>
      <c r="R17" s="15">
        <f t="shared" si="3"/>
        <v>0</v>
      </c>
      <c r="S17" s="15">
        <v>121.0</v>
      </c>
      <c r="T17" s="15">
        <v>11.0</v>
      </c>
      <c r="U17" s="20">
        <f t="shared" si="4"/>
        <v>0.09090909091</v>
      </c>
      <c r="V17" s="15">
        <f t="shared" si="5"/>
        <v>17</v>
      </c>
      <c r="W17" s="15">
        <v>15.0</v>
      </c>
      <c r="X17" s="20">
        <f t="shared" si="6"/>
        <v>0.1239669421</v>
      </c>
      <c r="Y17" s="15">
        <f t="shared" ref="Y17:Z17" si="38">AE17-W17</f>
        <v>3</v>
      </c>
      <c r="Z17" s="20">
        <f t="shared" si="38"/>
        <v>0.02479338843</v>
      </c>
      <c r="AA17" s="15">
        <v>15.0</v>
      </c>
      <c r="AB17" s="20">
        <f t="shared" si="8"/>
        <v>0.1239669421</v>
      </c>
      <c r="AC17" s="15">
        <f t="shared" ref="AC17:AD17" si="39">AE17-AA17</f>
        <v>3</v>
      </c>
      <c r="AD17" s="20">
        <f t="shared" si="39"/>
        <v>0.02479338843</v>
      </c>
      <c r="AE17" s="15">
        <v>18.0</v>
      </c>
      <c r="AF17" s="20">
        <f t="shared" si="10"/>
        <v>0.1487603306</v>
      </c>
      <c r="AG17" s="15">
        <v>18.0</v>
      </c>
      <c r="AH17" s="20">
        <f t="shared" si="11"/>
        <v>0.1487603306</v>
      </c>
      <c r="AI17" s="15">
        <v>28.0</v>
      </c>
      <c r="AJ17" s="15">
        <v>2.0</v>
      </c>
      <c r="AK17" s="21">
        <v>0.0</v>
      </c>
      <c r="AL17" s="22">
        <v>0.247933884297521</v>
      </c>
      <c r="AM17" s="15">
        <v>77.0</v>
      </c>
      <c r="AN17" s="15">
        <v>82.0</v>
      </c>
      <c r="AO17" s="23" t="s">
        <v>64</v>
      </c>
      <c r="AP17" s="23" t="s">
        <v>64</v>
      </c>
      <c r="AQ17" s="13" t="s">
        <v>65</v>
      </c>
      <c r="AR17" s="24" t="s">
        <v>130</v>
      </c>
      <c r="AS17" s="24"/>
      <c r="AT17" s="25" t="s">
        <v>147</v>
      </c>
      <c r="AU17" s="26" t="s">
        <v>68</v>
      </c>
      <c r="AV17" s="27"/>
      <c r="AW17" s="24" t="s">
        <v>79</v>
      </c>
      <c r="AX17" s="28"/>
      <c r="AY17" s="29" t="s">
        <v>148</v>
      </c>
      <c r="AZ17" s="37"/>
      <c r="BA17" s="24"/>
      <c r="BB17" s="26" t="s">
        <v>90</v>
      </c>
      <c r="BC17" s="24"/>
      <c r="BD17" s="34" t="s">
        <v>91</v>
      </c>
      <c r="BE17" s="38"/>
      <c r="BF17" s="24"/>
      <c r="BG17" s="24"/>
      <c r="BH17" s="24" t="s">
        <v>149</v>
      </c>
    </row>
    <row r="18" ht="14.25" customHeight="1">
      <c r="A18" s="12" t="s">
        <v>150</v>
      </c>
      <c r="B18" s="12"/>
      <c r="C18" s="13"/>
      <c r="D18" s="14"/>
      <c r="E18" s="15"/>
      <c r="F18" s="15"/>
      <c r="G18" s="12"/>
      <c r="H18" s="16"/>
      <c r="I18" s="17">
        <v>0.2564</v>
      </c>
      <c r="J18" s="18"/>
      <c r="K18" s="18" t="s">
        <v>151</v>
      </c>
      <c r="L18" s="18" t="s">
        <v>61</v>
      </c>
      <c r="M18" s="18" t="s">
        <v>60</v>
      </c>
      <c r="N18" s="18"/>
      <c r="O18" s="18" t="s">
        <v>60</v>
      </c>
      <c r="P18" s="18" t="s">
        <v>60</v>
      </c>
      <c r="Q18" s="19" t="s">
        <v>60</v>
      </c>
      <c r="R18" s="15">
        <f t="shared" si="3"/>
        <v>0</v>
      </c>
      <c r="S18" s="15">
        <v>61.0</v>
      </c>
      <c r="T18" s="15">
        <v>14.0</v>
      </c>
      <c r="U18" s="20">
        <f t="shared" si="4"/>
        <v>0.2295081967</v>
      </c>
      <c r="V18" s="15">
        <f t="shared" si="5"/>
        <v>14</v>
      </c>
      <c r="W18" s="15">
        <v>28.0</v>
      </c>
      <c r="X18" s="20">
        <f t="shared" si="6"/>
        <v>0.4590163934</v>
      </c>
      <c r="Y18" s="15">
        <f t="shared" ref="Y18:Z18" si="40">AE18-W18</f>
        <v>0</v>
      </c>
      <c r="Z18" s="20">
        <f t="shared" si="40"/>
        <v>0</v>
      </c>
      <c r="AA18" s="15">
        <v>28.0</v>
      </c>
      <c r="AB18" s="20">
        <f t="shared" si="8"/>
        <v>0.4590163934</v>
      </c>
      <c r="AC18" s="15">
        <f t="shared" ref="AC18:AD18" si="41">AE18-AA18</f>
        <v>0</v>
      </c>
      <c r="AD18" s="20">
        <f t="shared" si="41"/>
        <v>0</v>
      </c>
      <c r="AE18" s="15">
        <v>28.0</v>
      </c>
      <c r="AF18" s="20">
        <f t="shared" si="10"/>
        <v>0.4590163934</v>
      </c>
      <c r="AG18" s="15">
        <v>28.0</v>
      </c>
      <c r="AH18" s="20">
        <f t="shared" si="11"/>
        <v>0.4590163934</v>
      </c>
      <c r="AI18" s="15">
        <v>28.0</v>
      </c>
      <c r="AJ18" s="15">
        <v>0.0</v>
      </c>
      <c r="AK18" s="21">
        <v>0.0</v>
      </c>
      <c r="AL18" s="22">
        <v>0.459016393442623</v>
      </c>
      <c r="AM18" s="15">
        <v>6.0</v>
      </c>
      <c r="AN18" s="15">
        <v>33.0</v>
      </c>
      <c r="AO18" s="23" t="s">
        <v>64</v>
      </c>
      <c r="AP18" s="23" t="s">
        <v>64</v>
      </c>
      <c r="AQ18" s="13" t="s">
        <v>93</v>
      </c>
      <c r="AR18" s="24" t="s">
        <v>130</v>
      </c>
      <c r="AS18" s="24"/>
      <c r="AT18" s="25" t="s">
        <v>152</v>
      </c>
      <c r="AU18" s="26" t="s">
        <v>68</v>
      </c>
      <c r="AV18" s="27"/>
      <c r="AW18" s="24" t="s">
        <v>79</v>
      </c>
      <c r="AX18" s="28"/>
      <c r="AY18" s="29" t="s">
        <v>70</v>
      </c>
      <c r="AZ18" s="30"/>
      <c r="BA18" s="25" t="s">
        <v>153</v>
      </c>
      <c r="BB18" s="26" t="s">
        <v>72</v>
      </c>
      <c r="BC18" s="27"/>
      <c r="BD18" s="24" t="s">
        <v>96</v>
      </c>
      <c r="BE18" s="27"/>
      <c r="BF18" s="27"/>
      <c r="BG18" s="27"/>
      <c r="BH18" s="27"/>
    </row>
    <row r="19" ht="14.25" customHeight="1">
      <c r="A19" s="12" t="s">
        <v>154</v>
      </c>
      <c r="B19" s="12"/>
      <c r="C19" s="13"/>
      <c r="D19" s="14"/>
      <c r="E19" s="15"/>
      <c r="F19" s="15"/>
      <c r="G19" s="12"/>
      <c r="H19" s="16"/>
      <c r="I19" s="17">
        <v>0.16</v>
      </c>
      <c r="J19" s="18"/>
      <c r="K19" s="18" t="s">
        <v>62</v>
      </c>
      <c r="L19" s="18" t="s">
        <v>62</v>
      </c>
      <c r="M19" s="18" t="s">
        <v>62</v>
      </c>
      <c r="N19" s="18"/>
      <c r="O19" s="18" t="s">
        <v>62</v>
      </c>
      <c r="P19" s="18" t="s">
        <v>86</v>
      </c>
      <c r="Q19" s="19" t="s">
        <v>60</v>
      </c>
      <c r="R19" s="15">
        <f t="shared" si="3"/>
        <v>0</v>
      </c>
      <c r="S19" s="15">
        <v>22.0</v>
      </c>
      <c r="T19" s="15">
        <v>2.0</v>
      </c>
      <c r="U19" s="20">
        <f t="shared" si="4"/>
        <v>0.09090909091</v>
      </c>
      <c r="V19" s="15">
        <f t="shared" si="5"/>
        <v>16</v>
      </c>
      <c r="W19" s="15">
        <v>2.0</v>
      </c>
      <c r="X19" s="20">
        <f t="shared" si="6"/>
        <v>0.09090909091</v>
      </c>
      <c r="Y19" s="15">
        <f t="shared" ref="Y19:Z19" si="42">AE19-W19</f>
        <v>6</v>
      </c>
      <c r="Z19" s="20">
        <f t="shared" si="42"/>
        <v>0.2727272727</v>
      </c>
      <c r="AA19" s="15">
        <v>8.0</v>
      </c>
      <c r="AB19" s="20">
        <f t="shared" si="8"/>
        <v>0.3636363636</v>
      </c>
      <c r="AC19" s="15">
        <f t="shared" ref="AC19:AD19" si="43">AE19-AA19</f>
        <v>0</v>
      </c>
      <c r="AD19" s="20">
        <f t="shared" si="43"/>
        <v>0</v>
      </c>
      <c r="AE19" s="15">
        <v>8.0</v>
      </c>
      <c r="AF19" s="20">
        <f t="shared" si="10"/>
        <v>0.3636363636</v>
      </c>
      <c r="AG19" s="15">
        <v>18.0</v>
      </c>
      <c r="AH19" s="20">
        <f t="shared" si="11"/>
        <v>0.8181818182</v>
      </c>
      <c r="AI19" s="15">
        <v>18.0</v>
      </c>
      <c r="AJ19" s="15">
        <v>0.0</v>
      </c>
      <c r="AK19" s="21">
        <v>0.0</v>
      </c>
      <c r="AL19" s="22">
        <v>0.818181818181818</v>
      </c>
      <c r="AM19" s="15">
        <v>4.0</v>
      </c>
      <c r="AN19" s="15">
        <v>4.0</v>
      </c>
      <c r="AO19" s="23" t="s">
        <v>63</v>
      </c>
      <c r="AP19" s="23" t="s">
        <v>64</v>
      </c>
      <c r="AQ19" s="13" t="s">
        <v>77</v>
      </c>
      <c r="AR19" s="24" t="s">
        <v>66</v>
      </c>
      <c r="AS19" s="24"/>
      <c r="AT19" s="25" t="s">
        <v>155</v>
      </c>
      <c r="AU19" s="26" t="s">
        <v>68</v>
      </c>
      <c r="AV19" s="24"/>
      <c r="AW19" s="24" t="s">
        <v>100</v>
      </c>
      <c r="AX19" s="28"/>
      <c r="AY19" s="29" t="s">
        <v>89</v>
      </c>
      <c r="AZ19" s="37"/>
      <c r="BA19" s="27"/>
      <c r="BB19" s="26" t="s">
        <v>90</v>
      </c>
      <c r="BC19" s="27"/>
      <c r="BD19" s="34" t="s">
        <v>91</v>
      </c>
      <c r="BE19" s="38"/>
      <c r="BF19" s="27"/>
      <c r="BG19" s="27"/>
      <c r="BH19" s="27"/>
    </row>
    <row r="20" ht="14.25" customHeight="1">
      <c r="A20" s="12" t="s">
        <v>156</v>
      </c>
      <c r="B20" s="12"/>
      <c r="C20" s="13"/>
      <c r="D20" s="14"/>
      <c r="E20" s="15"/>
      <c r="F20" s="15"/>
      <c r="G20" s="12"/>
      <c r="H20" s="16"/>
      <c r="I20" s="17">
        <v>0.0294</v>
      </c>
      <c r="J20" s="18"/>
      <c r="K20" s="18"/>
      <c r="L20" s="18" t="s">
        <v>84</v>
      </c>
      <c r="M20" s="18" t="s">
        <v>84</v>
      </c>
      <c r="N20" s="18"/>
      <c r="O20" s="18" t="s">
        <v>62</v>
      </c>
      <c r="P20" s="18" t="s">
        <v>86</v>
      </c>
      <c r="Q20" s="19" t="s">
        <v>60</v>
      </c>
      <c r="R20" s="15">
        <f t="shared" si="3"/>
        <v>0</v>
      </c>
      <c r="S20" s="15">
        <v>32.0</v>
      </c>
      <c r="T20" s="15">
        <v>1.0</v>
      </c>
      <c r="U20" s="20">
        <f t="shared" si="4"/>
        <v>0.03125</v>
      </c>
      <c r="V20" s="15">
        <f t="shared" si="5"/>
        <v>31</v>
      </c>
      <c r="W20" s="15">
        <v>1.0</v>
      </c>
      <c r="X20" s="20">
        <f t="shared" si="6"/>
        <v>0.03125</v>
      </c>
      <c r="Y20" s="15">
        <f t="shared" ref="Y20:Z20" si="44">AE20-W20</f>
        <v>31</v>
      </c>
      <c r="Z20" s="20">
        <f t="shared" si="44"/>
        <v>0.96875</v>
      </c>
      <c r="AA20" s="15">
        <v>32.0</v>
      </c>
      <c r="AB20" s="20">
        <f t="shared" si="8"/>
        <v>1</v>
      </c>
      <c r="AC20" s="15">
        <f t="shared" ref="AC20:AD20" si="45">AE20-AA20</f>
        <v>0</v>
      </c>
      <c r="AD20" s="20">
        <f t="shared" si="45"/>
        <v>0</v>
      </c>
      <c r="AE20" s="15">
        <v>32.0</v>
      </c>
      <c r="AF20" s="20">
        <f t="shared" si="10"/>
        <v>1</v>
      </c>
      <c r="AG20" s="15" t="e">
        <v>#N/A</v>
      </c>
      <c r="AH20" s="20" t="str">
        <f t="shared" si="11"/>
        <v>#N/A</v>
      </c>
      <c r="AI20" s="15">
        <v>32.0</v>
      </c>
      <c r="AJ20" s="15">
        <v>0.0</v>
      </c>
      <c r="AK20" s="21">
        <v>0.0</v>
      </c>
      <c r="AL20" s="22">
        <v>1.0</v>
      </c>
      <c r="AM20" s="15">
        <v>0.0</v>
      </c>
      <c r="AN20" s="15">
        <v>0.0</v>
      </c>
      <c r="AO20" s="23" t="s">
        <v>64</v>
      </c>
      <c r="AP20" s="23" t="s">
        <v>64</v>
      </c>
      <c r="AQ20" s="13" t="s">
        <v>77</v>
      </c>
      <c r="AR20" s="24" t="s">
        <v>66</v>
      </c>
      <c r="AS20" s="24"/>
      <c r="AT20" s="25" t="s">
        <v>157</v>
      </c>
      <c r="AU20" s="26" t="s">
        <v>68</v>
      </c>
      <c r="AV20" s="27"/>
      <c r="AW20" s="24" t="s">
        <v>79</v>
      </c>
      <c r="AX20" s="27"/>
      <c r="AY20" s="29" t="s">
        <v>89</v>
      </c>
      <c r="AZ20" s="33"/>
      <c r="BA20" s="27"/>
      <c r="BB20" s="26" t="s">
        <v>90</v>
      </c>
      <c r="BC20" s="27"/>
      <c r="BD20" s="34" t="s">
        <v>91</v>
      </c>
      <c r="BE20" s="35"/>
      <c r="BF20" s="27"/>
      <c r="BG20" s="27"/>
      <c r="BH20" s="27"/>
    </row>
    <row r="21" ht="14.25" customHeight="1">
      <c r="A21" s="12" t="s">
        <v>158</v>
      </c>
      <c r="B21" s="12"/>
      <c r="C21" s="13"/>
      <c r="D21" s="14"/>
      <c r="E21" s="15"/>
      <c r="F21" s="15"/>
      <c r="G21" s="12"/>
      <c r="H21" s="16"/>
      <c r="I21" s="17">
        <v>0.056</v>
      </c>
      <c r="J21" s="18"/>
      <c r="K21" s="18"/>
      <c r="L21" s="18" t="s">
        <v>84</v>
      </c>
      <c r="M21" s="18" t="s">
        <v>84</v>
      </c>
      <c r="N21" s="18" t="s">
        <v>84</v>
      </c>
      <c r="O21" s="18" t="s">
        <v>85</v>
      </c>
      <c r="P21" s="18" t="s">
        <v>62</v>
      </c>
      <c r="Q21" s="18" t="s">
        <v>62</v>
      </c>
      <c r="R21" s="15">
        <f t="shared" si="3"/>
        <v>0</v>
      </c>
      <c r="S21" s="15">
        <v>292.0</v>
      </c>
      <c r="T21" s="15">
        <v>15.0</v>
      </c>
      <c r="U21" s="20">
        <f t="shared" si="4"/>
        <v>0.05136986301</v>
      </c>
      <c r="V21" s="15">
        <f t="shared" si="5"/>
        <v>49</v>
      </c>
      <c r="W21" s="15">
        <v>16.0</v>
      </c>
      <c r="X21" s="20">
        <f t="shared" si="6"/>
        <v>0.05479452055</v>
      </c>
      <c r="Y21" s="15">
        <f t="shared" ref="Y21:Z21" si="46">AE21-W21</f>
        <v>64</v>
      </c>
      <c r="Z21" s="20">
        <f t="shared" si="46"/>
        <v>0.2191780822</v>
      </c>
      <c r="AA21" s="15">
        <v>21.0</v>
      </c>
      <c r="AB21" s="20">
        <f t="shared" si="8"/>
        <v>0.07191780822</v>
      </c>
      <c r="AC21" s="15">
        <f t="shared" ref="AC21:AD21" si="47">AE21-AA21</f>
        <v>59</v>
      </c>
      <c r="AD21" s="20">
        <f t="shared" si="47"/>
        <v>0.2020547945</v>
      </c>
      <c r="AE21" s="15">
        <v>80.0</v>
      </c>
      <c r="AF21" s="20">
        <f t="shared" si="10"/>
        <v>0.2739726027</v>
      </c>
      <c r="AG21" s="15">
        <v>80.0</v>
      </c>
      <c r="AH21" s="20">
        <f t="shared" si="11"/>
        <v>0.2739726027</v>
      </c>
      <c r="AI21" s="15">
        <v>64.0</v>
      </c>
      <c r="AJ21" s="15">
        <v>16.0</v>
      </c>
      <c r="AK21" s="21">
        <v>0.0</v>
      </c>
      <c r="AL21" s="22">
        <v>0.273972602739726</v>
      </c>
      <c r="AM21" s="15">
        <v>228.0</v>
      </c>
      <c r="AN21" s="15">
        <v>212.0</v>
      </c>
      <c r="AO21" s="23" t="s">
        <v>64</v>
      </c>
      <c r="AP21" s="23" t="s">
        <v>64</v>
      </c>
      <c r="AQ21" s="13" t="s">
        <v>104</v>
      </c>
      <c r="AR21" s="24" t="s">
        <v>66</v>
      </c>
      <c r="AS21" s="24"/>
      <c r="AT21" s="25" t="s">
        <v>159</v>
      </c>
      <c r="AU21" s="26" t="s">
        <v>68</v>
      </c>
      <c r="AV21" s="27"/>
      <c r="AW21" s="24" t="s">
        <v>79</v>
      </c>
      <c r="AX21" s="28"/>
      <c r="AY21" s="29" t="s">
        <v>148</v>
      </c>
      <c r="AZ21" s="37"/>
      <c r="BA21" s="27"/>
      <c r="BB21" s="26" t="s">
        <v>90</v>
      </c>
      <c r="BC21" s="27"/>
      <c r="BD21" s="34" t="s">
        <v>91</v>
      </c>
      <c r="BE21" s="38"/>
      <c r="BF21" s="27"/>
      <c r="BG21" s="27"/>
      <c r="BH21" s="27"/>
    </row>
    <row r="22" ht="14.25" customHeight="1">
      <c r="A22" s="12" t="s">
        <v>160</v>
      </c>
      <c r="B22" s="12"/>
      <c r="C22" s="13"/>
      <c r="D22" s="14"/>
      <c r="E22" s="15"/>
      <c r="F22" s="19"/>
      <c r="G22" s="39"/>
      <c r="H22" s="18"/>
      <c r="I22" s="17">
        <v>0.057</v>
      </c>
      <c r="J22" s="18"/>
      <c r="K22" s="18" t="s">
        <v>62</v>
      </c>
      <c r="L22" s="18" t="s">
        <v>62</v>
      </c>
      <c r="M22" s="18" t="s">
        <v>161</v>
      </c>
      <c r="N22" s="18"/>
      <c r="O22" s="18" t="s">
        <v>86</v>
      </c>
      <c r="P22" s="18" t="s">
        <v>162</v>
      </c>
      <c r="Q22" s="18" t="s">
        <v>162</v>
      </c>
      <c r="R22" s="15">
        <f t="shared" si="3"/>
        <v>0</v>
      </c>
      <c r="S22" s="15">
        <v>176.0</v>
      </c>
      <c r="T22" s="15">
        <v>8.0</v>
      </c>
      <c r="U22" s="20">
        <f t="shared" si="4"/>
        <v>0.04545454545</v>
      </c>
      <c r="V22" s="15">
        <f t="shared" si="5"/>
        <v>79</v>
      </c>
      <c r="W22" s="15">
        <v>59.0</v>
      </c>
      <c r="X22" s="20">
        <f t="shared" si="6"/>
        <v>0.3352272727</v>
      </c>
      <c r="Y22" s="15">
        <f t="shared" ref="Y22:Z22" si="48">AE22-W22</f>
        <v>28</v>
      </c>
      <c r="Z22" s="20">
        <f t="shared" si="48"/>
        <v>0.1590909091</v>
      </c>
      <c r="AA22" s="15">
        <v>70.0</v>
      </c>
      <c r="AB22" s="20">
        <f t="shared" si="8"/>
        <v>0.3977272727</v>
      </c>
      <c r="AC22" s="15">
        <f t="shared" ref="AC22:AD22" si="49">AE22-AA22</f>
        <v>17</v>
      </c>
      <c r="AD22" s="20">
        <f t="shared" si="49"/>
        <v>0.09659090909</v>
      </c>
      <c r="AE22" s="15">
        <v>87.0</v>
      </c>
      <c r="AF22" s="20">
        <f t="shared" si="10"/>
        <v>0.4943181818</v>
      </c>
      <c r="AG22" s="15">
        <v>87.0</v>
      </c>
      <c r="AH22" s="20">
        <f t="shared" si="11"/>
        <v>0.4943181818</v>
      </c>
      <c r="AI22" s="15">
        <v>87.0</v>
      </c>
      <c r="AJ22" s="15">
        <v>0.0</v>
      </c>
      <c r="AK22" s="21">
        <v>21.0</v>
      </c>
      <c r="AL22" s="22">
        <v>0.613636363636364</v>
      </c>
      <c r="AM22" s="15">
        <v>64.0</v>
      </c>
      <c r="AN22" s="15">
        <v>42.0</v>
      </c>
      <c r="AO22" s="23" t="s">
        <v>64</v>
      </c>
      <c r="AP22" s="23" t="s">
        <v>64</v>
      </c>
      <c r="AQ22" s="13" t="s">
        <v>108</v>
      </c>
      <c r="AR22" s="24" t="s">
        <v>130</v>
      </c>
      <c r="AS22" s="24"/>
      <c r="AT22" s="25" t="s">
        <v>163</v>
      </c>
      <c r="AU22" s="26" t="s">
        <v>88</v>
      </c>
      <c r="AV22" s="36"/>
      <c r="AW22" s="24" t="s">
        <v>79</v>
      </c>
      <c r="AX22" s="27"/>
      <c r="AY22" s="29" t="s">
        <v>110</v>
      </c>
      <c r="AZ22" s="30"/>
      <c r="BA22" s="25" t="s">
        <v>164</v>
      </c>
      <c r="BB22" s="26" t="s">
        <v>72</v>
      </c>
      <c r="BC22" s="27"/>
      <c r="BD22" s="24" t="s">
        <v>112</v>
      </c>
      <c r="BE22" s="25"/>
      <c r="BF22" s="27"/>
      <c r="BG22" s="27"/>
      <c r="BH22" s="27"/>
    </row>
    <row r="23" ht="14.25" customHeight="1">
      <c r="A23" s="12" t="s">
        <v>165</v>
      </c>
      <c r="B23" s="12"/>
      <c r="C23" s="13"/>
      <c r="D23" s="14"/>
      <c r="E23" s="15"/>
      <c r="F23" s="15"/>
      <c r="G23" s="12"/>
      <c r="H23" s="16"/>
      <c r="I23" s="17">
        <v>0.225</v>
      </c>
      <c r="J23" s="18"/>
      <c r="K23" s="18" t="s">
        <v>62</v>
      </c>
      <c r="L23" s="18" t="s">
        <v>62</v>
      </c>
      <c r="M23" s="18" t="s">
        <v>62</v>
      </c>
      <c r="N23" s="18"/>
      <c r="O23" s="18" t="s">
        <v>62</v>
      </c>
      <c r="P23" s="19" t="s">
        <v>62</v>
      </c>
      <c r="Q23" s="19" t="s">
        <v>86</v>
      </c>
      <c r="R23" s="15">
        <f t="shared" si="3"/>
        <v>0</v>
      </c>
      <c r="S23" s="15">
        <v>30.0</v>
      </c>
      <c r="T23" s="15">
        <v>9.0</v>
      </c>
      <c r="U23" s="20">
        <f t="shared" si="4"/>
        <v>0.3</v>
      </c>
      <c r="V23" s="15">
        <f t="shared" si="5"/>
        <v>18</v>
      </c>
      <c r="W23" s="15">
        <v>11.0</v>
      </c>
      <c r="X23" s="20">
        <f t="shared" si="6"/>
        <v>0.3666666667</v>
      </c>
      <c r="Y23" s="15">
        <f t="shared" ref="Y23:Z23" si="50">AE23-W23</f>
        <v>16</v>
      </c>
      <c r="Z23" s="20">
        <f t="shared" si="50"/>
        <v>0.5333333333</v>
      </c>
      <c r="AA23" s="15">
        <v>11.0</v>
      </c>
      <c r="AB23" s="20">
        <f t="shared" si="8"/>
        <v>0.3666666667</v>
      </c>
      <c r="AC23" s="15">
        <f t="shared" ref="AC23:AD23" si="51">AE23-AA23</f>
        <v>16</v>
      </c>
      <c r="AD23" s="20">
        <f t="shared" si="51"/>
        <v>0.5333333333</v>
      </c>
      <c r="AE23" s="15">
        <v>27.0</v>
      </c>
      <c r="AF23" s="20">
        <f t="shared" si="10"/>
        <v>0.9</v>
      </c>
      <c r="AG23" s="15">
        <v>27.0</v>
      </c>
      <c r="AH23" s="20">
        <f t="shared" si="11"/>
        <v>0.9</v>
      </c>
      <c r="AI23" s="15">
        <v>27.0</v>
      </c>
      <c r="AJ23" s="15">
        <v>0.0</v>
      </c>
      <c r="AK23" s="21">
        <v>0.0</v>
      </c>
      <c r="AL23" s="22">
        <v>0.9</v>
      </c>
      <c r="AM23" s="15">
        <v>3.0</v>
      </c>
      <c r="AN23" s="15">
        <v>3.0</v>
      </c>
      <c r="AO23" s="23" t="s">
        <v>64</v>
      </c>
      <c r="AP23" s="23" t="s">
        <v>64</v>
      </c>
      <c r="AQ23" s="13" t="s">
        <v>108</v>
      </c>
      <c r="AR23" s="24" t="s">
        <v>66</v>
      </c>
      <c r="AS23" s="24"/>
      <c r="AT23" s="25" t="s">
        <v>166</v>
      </c>
      <c r="AU23" s="26" t="s">
        <v>68</v>
      </c>
      <c r="AV23" s="27"/>
      <c r="AW23" s="24" t="s">
        <v>100</v>
      </c>
      <c r="AX23" s="28"/>
      <c r="AY23" s="29" t="s">
        <v>110</v>
      </c>
      <c r="AZ23" s="32"/>
      <c r="BA23" s="25" t="s">
        <v>167</v>
      </c>
      <c r="BB23" s="26" t="s">
        <v>168</v>
      </c>
      <c r="BC23" s="27"/>
      <c r="BD23" s="24"/>
      <c r="BE23" s="27"/>
      <c r="BF23" s="27"/>
      <c r="BG23" s="27"/>
      <c r="BH23" s="27"/>
    </row>
    <row r="24" ht="14.25" customHeight="1">
      <c r="A24" s="12" t="s">
        <v>169</v>
      </c>
      <c r="B24" s="12"/>
      <c r="C24" s="13"/>
      <c r="D24" s="14"/>
      <c r="E24" s="15"/>
      <c r="F24" s="15"/>
      <c r="G24" s="12"/>
      <c r="H24" s="16"/>
      <c r="I24" s="17">
        <v>0.0033</v>
      </c>
      <c r="J24" s="18"/>
      <c r="K24" s="18" t="s">
        <v>62</v>
      </c>
      <c r="L24" s="18" t="s">
        <v>62</v>
      </c>
      <c r="M24" s="18" t="s">
        <v>62</v>
      </c>
      <c r="N24" s="18"/>
      <c r="O24" s="18" t="s">
        <v>62</v>
      </c>
      <c r="P24" s="18" t="s">
        <v>62</v>
      </c>
      <c r="Q24" s="18" t="s">
        <v>62</v>
      </c>
      <c r="R24" s="15">
        <f t="shared" si="3"/>
        <v>0</v>
      </c>
      <c r="S24" s="15">
        <v>230.0</v>
      </c>
      <c r="T24" s="15">
        <v>1.0</v>
      </c>
      <c r="U24" s="20">
        <f t="shared" si="4"/>
        <v>0.004347826087</v>
      </c>
      <c r="V24" s="15">
        <f t="shared" si="5"/>
        <v>55</v>
      </c>
      <c r="W24" s="15">
        <v>1.0</v>
      </c>
      <c r="X24" s="20">
        <f t="shared" si="6"/>
        <v>0.004347826087</v>
      </c>
      <c r="Y24" s="15">
        <f t="shared" ref="Y24:Z24" si="52">AE24-W24</f>
        <v>55</v>
      </c>
      <c r="Z24" s="20">
        <f t="shared" si="52"/>
        <v>0.2391304348</v>
      </c>
      <c r="AA24" s="15">
        <v>1.0</v>
      </c>
      <c r="AB24" s="20">
        <f t="shared" si="8"/>
        <v>0.004347826087</v>
      </c>
      <c r="AC24" s="15">
        <f t="shared" ref="AC24:AD24" si="53">AE24-AA24</f>
        <v>55</v>
      </c>
      <c r="AD24" s="20">
        <f t="shared" si="53"/>
        <v>0.2391304348</v>
      </c>
      <c r="AE24" s="15">
        <v>56.0</v>
      </c>
      <c r="AF24" s="20">
        <f t="shared" si="10"/>
        <v>0.2434782609</v>
      </c>
      <c r="AG24" s="15">
        <v>56.0</v>
      </c>
      <c r="AH24" s="20">
        <f t="shared" si="11"/>
        <v>0.2434782609</v>
      </c>
      <c r="AI24" s="15">
        <v>56.0</v>
      </c>
      <c r="AJ24" s="15">
        <v>0.0</v>
      </c>
      <c r="AK24" s="21">
        <v>0.0</v>
      </c>
      <c r="AL24" s="22">
        <v>0.243478260869565</v>
      </c>
      <c r="AM24" s="15">
        <v>174.0</v>
      </c>
      <c r="AN24" s="15">
        <v>174.0</v>
      </c>
      <c r="AO24" s="23" t="s">
        <v>64</v>
      </c>
      <c r="AP24" s="23" t="s">
        <v>64</v>
      </c>
      <c r="AQ24" s="13" t="s">
        <v>108</v>
      </c>
      <c r="AR24" s="24" t="s">
        <v>66</v>
      </c>
      <c r="AS24" s="24"/>
      <c r="AT24" s="25" t="s">
        <v>170</v>
      </c>
      <c r="AU24" s="26" t="s">
        <v>68</v>
      </c>
      <c r="AV24" s="27"/>
      <c r="AW24" s="24" t="s">
        <v>69</v>
      </c>
      <c r="AX24" s="27"/>
      <c r="AY24" s="29" t="s">
        <v>89</v>
      </c>
      <c r="AZ24" s="33"/>
      <c r="BA24" s="27"/>
      <c r="BB24" s="26" t="s">
        <v>90</v>
      </c>
      <c r="BC24" s="27"/>
      <c r="BD24" s="34" t="s">
        <v>91</v>
      </c>
      <c r="BE24" s="35"/>
      <c r="BF24" s="27"/>
      <c r="BG24" s="27"/>
      <c r="BH24" s="27"/>
    </row>
    <row r="25" ht="14.25" customHeight="1">
      <c r="A25" s="12" t="s">
        <v>171</v>
      </c>
      <c r="B25" s="12"/>
      <c r="C25" s="13"/>
      <c r="D25" s="14"/>
      <c r="E25" s="15"/>
      <c r="F25" s="19"/>
      <c r="G25" s="39"/>
      <c r="H25" s="18"/>
      <c r="I25" s="17">
        <v>0.6604</v>
      </c>
      <c r="J25" s="18"/>
      <c r="K25" s="18" t="s">
        <v>62</v>
      </c>
      <c r="L25" s="18" t="s">
        <v>86</v>
      </c>
      <c r="M25" s="18" t="s">
        <v>60</v>
      </c>
      <c r="N25" s="18"/>
      <c r="O25" s="18" t="s">
        <v>60</v>
      </c>
      <c r="P25" s="18" t="s">
        <v>60</v>
      </c>
      <c r="Q25" s="19" t="s">
        <v>60</v>
      </c>
      <c r="R25" s="15">
        <f t="shared" si="3"/>
        <v>0</v>
      </c>
      <c r="S25" s="15">
        <v>46.0</v>
      </c>
      <c r="T25" s="15">
        <v>28.0</v>
      </c>
      <c r="U25" s="20">
        <f t="shared" si="4"/>
        <v>0.6086956522</v>
      </c>
      <c r="V25" s="15">
        <f t="shared" si="5"/>
        <v>0</v>
      </c>
      <c r="W25" s="15">
        <v>28.0</v>
      </c>
      <c r="X25" s="20">
        <f t="shared" si="6"/>
        <v>0.6086956522</v>
      </c>
      <c r="Y25" s="15">
        <f t="shared" ref="Y25:Z25" si="54">AE25-W25</f>
        <v>0</v>
      </c>
      <c r="Z25" s="20">
        <f t="shared" si="54"/>
        <v>0</v>
      </c>
      <c r="AA25" s="15">
        <v>28.0</v>
      </c>
      <c r="AB25" s="20">
        <f t="shared" si="8"/>
        <v>0.6086956522</v>
      </c>
      <c r="AC25" s="15">
        <f t="shared" ref="AC25:AD25" si="55">AE25-AA25</f>
        <v>0</v>
      </c>
      <c r="AD25" s="20">
        <f t="shared" si="55"/>
        <v>0</v>
      </c>
      <c r="AE25" s="15">
        <v>28.0</v>
      </c>
      <c r="AF25" s="20">
        <f t="shared" si="10"/>
        <v>0.6086956522</v>
      </c>
      <c r="AG25" s="15">
        <v>28.0</v>
      </c>
      <c r="AH25" s="20">
        <f t="shared" si="11"/>
        <v>0.6086956522</v>
      </c>
      <c r="AI25" s="15">
        <v>28.0</v>
      </c>
      <c r="AJ25" s="15">
        <v>0.0</v>
      </c>
      <c r="AK25" s="21">
        <v>0.0</v>
      </c>
      <c r="AL25" s="22">
        <v>0.608695652173913</v>
      </c>
      <c r="AM25" s="15">
        <v>18.0</v>
      </c>
      <c r="AN25" s="15">
        <v>18.0</v>
      </c>
      <c r="AO25" s="23" t="s">
        <v>64</v>
      </c>
      <c r="AP25" s="23" t="s">
        <v>64</v>
      </c>
      <c r="AQ25" s="13" t="s">
        <v>77</v>
      </c>
      <c r="AR25" s="24" t="s">
        <v>66</v>
      </c>
      <c r="AS25" s="24"/>
      <c r="AT25" s="25" t="s">
        <v>172</v>
      </c>
      <c r="AU25" s="26" t="s">
        <v>118</v>
      </c>
      <c r="AV25" s="27"/>
      <c r="AW25" s="24" t="s">
        <v>133</v>
      </c>
      <c r="AX25" s="42">
        <v>46002.0</v>
      </c>
      <c r="AY25" s="29" t="s">
        <v>173</v>
      </c>
      <c r="AZ25" s="37"/>
      <c r="BA25" s="27"/>
      <c r="BB25" s="26"/>
      <c r="BC25" s="27"/>
      <c r="BD25" s="24"/>
      <c r="BE25" s="58"/>
      <c r="BF25" s="27"/>
      <c r="BG25" s="27"/>
      <c r="BH25" s="27"/>
    </row>
    <row r="26" ht="14.25" customHeight="1">
      <c r="A26" s="12" t="s">
        <v>174</v>
      </c>
      <c r="B26" s="12"/>
      <c r="C26" s="13"/>
      <c r="D26" s="14"/>
      <c r="E26" s="15"/>
      <c r="F26" s="15"/>
      <c r="G26" s="12"/>
      <c r="H26" s="16"/>
      <c r="I26" s="17">
        <v>0.2062</v>
      </c>
      <c r="J26" s="18" t="s">
        <v>175</v>
      </c>
      <c r="K26" s="18" t="s">
        <v>176</v>
      </c>
      <c r="L26" s="18" t="s">
        <v>61</v>
      </c>
      <c r="M26" s="18" t="s">
        <v>62</v>
      </c>
      <c r="N26" s="18"/>
      <c r="O26" s="18" t="s">
        <v>60</v>
      </c>
      <c r="P26" s="18" t="s">
        <v>60</v>
      </c>
      <c r="Q26" s="19" t="s">
        <v>60</v>
      </c>
      <c r="R26" s="15">
        <f t="shared" si="3"/>
        <v>0</v>
      </c>
      <c r="S26" s="15">
        <v>177.0</v>
      </c>
      <c r="T26" s="15">
        <v>38.0</v>
      </c>
      <c r="U26" s="20">
        <f t="shared" si="4"/>
        <v>0.2146892655</v>
      </c>
      <c r="V26" s="15">
        <f t="shared" si="5"/>
        <v>0</v>
      </c>
      <c r="W26" s="15">
        <v>38.0</v>
      </c>
      <c r="X26" s="20">
        <f t="shared" si="6"/>
        <v>0.2146892655</v>
      </c>
      <c r="Y26" s="15">
        <f t="shared" ref="Y26:Z26" si="56">AE26-W26</f>
        <v>0</v>
      </c>
      <c r="Z26" s="20">
        <f t="shared" si="56"/>
        <v>0</v>
      </c>
      <c r="AA26" s="15">
        <v>38.0</v>
      </c>
      <c r="AB26" s="20">
        <f t="shared" si="8"/>
        <v>0.2146892655</v>
      </c>
      <c r="AC26" s="15">
        <f t="shared" ref="AC26:AD26" si="57">AE26-AA26</f>
        <v>0</v>
      </c>
      <c r="AD26" s="20">
        <f t="shared" si="57"/>
        <v>0</v>
      </c>
      <c r="AE26" s="15">
        <v>38.0</v>
      </c>
      <c r="AF26" s="20">
        <f t="shared" si="10"/>
        <v>0.2146892655</v>
      </c>
      <c r="AG26" s="15">
        <v>38.0</v>
      </c>
      <c r="AH26" s="20">
        <f t="shared" si="11"/>
        <v>0.2146892655</v>
      </c>
      <c r="AI26" s="15">
        <v>38.0</v>
      </c>
      <c r="AJ26" s="15">
        <v>0.0</v>
      </c>
      <c r="AK26" s="21">
        <v>0.0</v>
      </c>
      <c r="AL26" s="22">
        <v>0.214689265536723</v>
      </c>
      <c r="AM26" s="15">
        <v>135.0</v>
      </c>
      <c r="AN26" s="15">
        <v>125.0</v>
      </c>
      <c r="AO26" s="23" t="s">
        <v>64</v>
      </c>
      <c r="AP26" s="23" t="s">
        <v>64</v>
      </c>
      <c r="AQ26" s="13" t="s">
        <v>65</v>
      </c>
      <c r="AR26" s="24" t="s">
        <v>66</v>
      </c>
      <c r="AS26" s="24"/>
      <c r="AT26" s="25" t="s">
        <v>177</v>
      </c>
      <c r="AU26" s="26" t="s">
        <v>68</v>
      </c>
      <c r="AV26" s="27"/>
      <c r="AW26" s="24" t="s">
        <v>79</v>
      </c>
      <c r="AX26" s="28"/>
      <c r="AY26" s="29" t="s">
        <v>70</v>
      </c>
      <c r="AZ26" s="30"/>
      <c r="BA26" s="25" t="s">
        <v>178</v>
      </c>
      <c r="BB26" s="26" t="s">
        <v>72</v>
      </c>
      <c r="BC26" s="27"/>
      <c r="BD26" s="24" t="s">
        <v>73</v>
      </c>
      <c r="BE26" s="27"/>
      <c r="BF26" s="27"/>
      <c r="BG26" s="27"/>
      <c r="BH26" s="27"/>
    </row>
    <row r="27" ht="14.25" customHeight="1">
      <c r="A27" s="12" t="s">
        <v>179</v>
      </c>
      <c r="B27" s="12"/>
      <c r="C27" s="59"/>
      <c r="D27" s="14"/>
      <c r="E27" s="15"/>
      <c r="F27" s="16"/>
      <c r="G27" s="12"/>
      <c r="H27" s="16"/>
      <c r="I27" s="17">
        <v>0.4524</v>
      </c>
      <c r="J27" s="18"/>
      <c r="K27" s="18" t="s">
        <v>62</v>
      </c>
      <c r="L27" s="18" t="s">
        <v>62</v>
      </c>
      <c r="M27" s="18" t="s">
        <v>62</v>
      </c>
      <c r="N27" s="18"/>
      <c r="O27" s="18" t="s">
        <v>62</v>
      </c>
      <c r="P27" s="18" t="s">
        <v>62</v>
      </c>
      <c r="Q27" s="18" t="s">
        <v>62</v>
      </c>
      <c r="R27" s="15">
        <f t="shared" si="3"/>
        <v>0</v>
      </c>
      <c r="S27" s="15">
        <v>30.0</v>
      </c>
      <c r="T27" s="15">
        <v>8.0</v>
      </c>
      <c r="U27" s="20">
        <f t="shared" si="4"/>
        <v>0.2666666667</v>
      </c>
      <c r="V27" s="15">
        <f t="shared" si="5"/>
        <v>9</v>
      </c>
      <c r="W27" s="15">
        <v>8.0</v>
      </c>
      <c r="X27" s="20">
        <f t="shared" si="6"/>
        <v>0.2666666667</v>
      </c>
      <c r="Y27" s="15">
        <f t="shared" ref="Y27:Z27" si="58">AE27-W27</f>
        <v>9</v>
      </c>
      <c r="Z27" s="20">
        <f t="shared" si="58"/>
        <v>0.3</v>
      </c>
      <c r="AA27" s="15">
        <v>8.0</v>
      </c>
      <c r="AB27" s="20">
        <f t="shared" si="8"/>
        <v>0.2666666667</v>
      </c>
      <c r="AC27" s="15">
        <f t="shared" ref="AC27:AD27" si="59">AE27-AA27</f>
        <v>9</v>
      </c>
      <c r="AD27" s="20">
        <f t="shared" si="59"/>
        <v>0.3</v>
      </c>
      <c r="AE27" s="15">
        <v>17.0</v>
      </c>
      <c r="AF27" s="20">
        <f t="shared" si="10"/>
        <v>0.5666666667</v>
      </c>
      <c r="AG27" s="15">
        <v>17.0</v>
      </c>
      <c r="AH27" s="20">
        <f t="shared" si="11"/>
        <v>0.5666666667</v>
      </c>
      <c r="AI27" s="15">
        <v>17.0</v>
      </c>
      <c r="AJ27" s="15">
        <v>0.0</v>
      </c>
      <c r="AK27" s="21">
        <v>0.0</v>
      </c>
      <c r="AL27" s="22">
        <v>0.566666666666667</v>
      </c>
      <c r="AM27" s="15">
        <v>12.0</v>
      </c>
      <c r="AN27" s="15">
        <v>13.0</v>
      </c>
      <c r="AO27" s="23" t="s">
        <v>63</v>
      </c>
      <c r="AP27" s="23" t="s">
        <v>64</v>
      </c>
      <c r="AQ27" s="13" t="s">
        <v>108</v>
      </c>
      <c r="AR27" s="24" t="s">
        <v>66</v>
      </c>
      <c r="AS27" s="24"/>
      <c r="AT27" s="25" t="s">
        <v>180</v>
      </c>
      <c r="AU27" s="26" t="s">
        <v>68</v>
      </c>
      <c r="AV27" s="27"/>
      <c r="AW27" s="24" t="s">
        <v>69</v>
      </c>
      <c r="AX27" s="28"/>
      <c r="AY27" s="29" t="s">
        <v>181</v>
      </c>
      <c r="AZ27" s="24"/>
      <c r="BA27" s="25" t="s">
        <v>182</v>
      </c>
      <c r="BB27" s="26" t="s">
        <v>72</v>
      </c>
      <c r="BC27" s="27"/>
      <c r="BD27" s="34" t="s">
        <v>91</v>
      </c>
      <c r="BE27" s="38"/>
      <c r="BF27" s="28"/>
      <c r="BG27" s="27"/>
      <c r="BH27" s="27"/>
    </row>
    <row r="28" ht="14.25" customHeight="1">
      <c r="A28" s="12" t="s">
        <v>183</v>
      </c>
      <c r="B28" s="12"/>
      <c r="C28" s="13"/>
      <c r="D28" s="14"/>
      <c r="E28" s="15"/>
      <c r="F28" s="19"/>
      <c r="G28" s="39"/>
      <c r="H28" s="18"/>
      <c r="I28" s="17">
        <v>1.0</v>
      </c>
      <c r="J28" s="18"/>
      <c r="K28" s="18" t="s">
        <v>151</v>
      </c>
      <c r="L28" s="18" t="s">
        <v>61</v>
      </c>
      <c r="M28" s="18" t="s">
        <v>60</v>
      </c>
      <c r="N28" s="18"/>
      <c r="O28" s="18" t="s">
        <v>60</v>
      </c>
      <c r="P28" s="18" t="s">
        <v>60</v>
      </c>
      <c r="Q28" s="19" t="s">
        <v>60</v>
      </c>
      <c r="R28" s="15">
        <f t="shared" si="3"/>
        <v>0</v>
      </c>
      <c r="S28" s="15">
        <v>57.0</v>
      </c>
      <c r="T28" s="15">
        <v>57.0</v>
      </c>
      <c r="U28" s="20">
        <f t="shared" si="4"/>
        <v>1</v>
      </c>
      <c r="V28" s="15">
        <f t="shared" si="5"/>
        <v>0</v>
      </c>
      <c r="W28" s="15">
        <v>57.0</v>
      </c>
      <c r="X28" s="20">
        <f t="shared" si="6"/>
        <v>1</v>
      </c>
      <c r="Y28" s="15">
        <f t="shared" ref="Y28:Z28" si="60">AE28-W28</f>
        <v>0</v>
      </c>
      <c r="Z28" s="20">
        <f t="shared" si="60"/>
        <v>0</v>
      </c>
      <c r="AA28" s="15">
        <v>57.0</v>
      </c>
      <c r="AB28" s="20">
        <f t="shared" si="8"/>
        <v>1</v>
      </c>
      <c r="AC28" s="15">
        <f t="shared" ref="AC28:AD28" si="61">AE28-AA28</f>
        <v>0</v>
      </c>
      <c r="AD28" s="20">
        <f t="shared" si="61"/>
        <v>0</v>
      </c>
      <c r="AE28" s="15">
        <v>57.0</v>
      </c>
      <c r="AF28" s="20">
        <f t="shared" si="10"/>
        <v>1</v>
      </c>
      <c r="AG28" s="15">
        <v>57.0</v>
      </c>
      <c r="AH28" s="20">
        <f t="shared" si="11"/>
        <v>1</v>
      </c>
      <c r="AI28" s="15">
        <v>57.0</v>
      </c>
      <c r="AJ28" s="15">
        <v>0.0</v>
      </c>
      <c r="AK28" s="21">
        <v>0.0</v>
      </c>
      <c r="AL28" s="22">
        <v>1.0</v>
      </c>
      <c r="AM28" s="15">
        <v>0.0</v>
      </c>
      <c r="AN28" s="15">
        <v>0.0</v>
      </c>
      <c r="AO28" s="23" t="s">
        <v>64</v>
      </c>
      <c r="AP28" s="23" t="s">
        <v>64</v>
      </c>
      <c r="AQ28" s="13" t="s">
        <v>77</v>
      </c>
      <c r="AR28" s="24" t="s">
        <v>66</v>
      </c>
      <c r="AS28" s="24"/>
      <c r="AT28" s="25" t="s">
        <v>184</v>
      </c>
      <c r="AU28" s="26" t="s">
        <v>68</v>
      </c>
      <c r="AV28" s="27"/>
      <c r="AW28" s="24" t="s">
        <v>79</v>
      </c>
      <c r="AX28" s="28"/>
      <c r="AY28" s="29" t="s">
        <v>70</v>
      </c>
      <c r="AZ28" s="30"/>
      <c r="BA28" s="25" t="s">
        <v>185</v>
      </c>
      <c r="BB28" s="26" t="s">
        <v>186</v>
      </c>
      <c r="BC28" s="60">
        <v>46057.0</v>
      </c>
      <c r="BD28" s="24"/>
      <c r="BE28" s="27"/>
      <c r="BF28" s="27"/>
      <c r="BG28" s="27"/>
      <c r="BH28" s="27"/>
    </row>
    <row r="29" ht="14.25" customHeight="1">
      <c r="A29" s="12" t="s">
        <v>187</v>
      </c>
      <c r="B29" s="12"/>
      <c r="C29" s="13"/>
      <c r="D29" s="14"/>
      <c r="E29" s="15"/>
      <c r="F29" s="19"/>
      <c r="G29" s="39"/>
      <c r="H29" s="18"/>
      <c r="I29" s="17">
        <v>0.8696</v>
      </c>
      <c r="J29" s="18"/>
      <c r="K29" s="18" t="s">
        <v>151</v>
      </c>
      <c r="L29" s="18" t="s">
        <v>61</v>
      </c>
      <c r="M29" s="18" t="s">
        <v>60</v>
      </c>
      <c r="N29" s="18"/>
      <c r="O29" s="18" t="s">
        <v>60</v>
      </c>
      <c r="P29" s="18" t="s">
        <v>60</v>
      </c>
      <c r="Q29" s="19" t="s">
        <v>60</v>
      </c>
      <c r="R29" s="15">
        <f t="shared" si="3"/>
        <v>0</v>
      </c>
      <c r="S29" s="15">
        <v>20.0</v>
      </c>
      <c r="T29" s="15">
        <v>17.0</v>
      </c>
      <c r="U29" s="20">
        <f t="shared" si="4"/>
        <v>0.85</v>
      </c>
      <c r="V29" s="15">
        <f t="shared" si="5"/>
        <v>1</v>
      </c>
      <c r="W29" s="15">
        <v>17.0</v>
      </c>
      <c r="X29" s="20">
        <f t="shared" si="6"/>
        <v>0.85</v>
      </c>
      <c r="Y29" s="15">
        <f t="shared" ref="Y29:Z29" si="62">AE29-W29</f>
        <v>0</v>
      </c>
      <c r="Z29" s="20">
        <f t="shared" si="62"/>
        <v>0</v>
      </c>
      <c r="AA29" s="15">
        <v>17.0</v>
      </c>
      <c r="AB29" s="20">
        <f t="shared" si="8"/>
        <v>0.85</v>
      </c>
      <c r="AC29" s="15">
        <f t="shared" ref="AC29:AD29" si="63">AE29-AA29</f>
        <v>0</v>
      </c>
      <c r="AD29" s="20">
        <f t="shared" si="63"/>
        <v>0</v>
      </c>
      <c r="AE29" s="15">
        <v>17.0</v>
      </c>
      <c r="AF29" s="20">
        <f t="shared" si="10"/>
        <v>0.85</v>
      </c>
      <c r="AG29" s="15">
        <v>17.0</v>
      </c>
      <c r="AH29" s="20">
        <f t="shared" si="11"/>
        <v>0.85</v>
      </c>
      <c r="AI29" s="15">
        <v>18.0</v>
      </c>
      <c r="AJ29" s="15">
        <v>0.0</v>
      </c>
      <c r="AK29" s="21">
        <v>0.0</v>
      </c>
      <c r="AL29" s="22">
        <v>0.9</v>
      </c>
      <c r="AM29" s="15">
        <v>0.0</v>
      </c>
      <c r="AN29" s="15">
        <v>2.0</v>
      </c>
      <c r="AO29" s="23" t="s">
        <v>63</v>
      </c>
      <c r="AP29" s="23" t="s">
        <v>64</v>
      </c>
      <c r="AQ29" s="13" t="s">
        <v>108</v>
      </c>
      <c r="AR29" s="24" t="s">
        <v>130</v>
      </c>
      <c r="AS29" s="24"/>
      <c r="AT29" s="25" t="s">
        <v>188</v>
      </c>
      <c r="AU29" s="26" t="s">
        <v>68</v>
      </c>
      <c r="AV29" s="27"/>
      <c r="AW29" s="24" t="s">
        <v>100</v>
      </c>
      <c r="AX29" s="28"/>
      <c r="AY29" s="29" t="s">
        <v>70</v>
      </c>
      <c r="AZ29" s="32"/>
      <c r="BA29" s="25" t="s">
        <v>189</v>
      </c>
      <c r="BB29" s="26" t="s">
        <v>72</v>
      </c>
      <c r="BC29" s="27"/>
      <c r="BD29" s="24" t="s">
        <v>96</v>
      </c>
      <c r="BE29" s="27"/>
      <c r="BF29" s="27"/>
      <c r="BG29" s="27"/>
      <c r="BH29" s="27"/>
    </row>
    <row r="30" ht="14.25" customHeight="1">
      <c r="A30" s="12" t="s">
        <v>190</v>
      </c>
      <c r="B30" s="12"/>
      <c r="C30" s="13"/>
      <c r="D30" s="14"/>
      <c r="E30" s="15"/>
      <c r="F30" s="15"/>
      <c r="G30" s="12"/>
      <c r="H30" s="16"/>
      <c r="I30" s="17">
        <v>0.1645</v>
      </c>
      <c r="J30" s="18"/>
      <c r="K30" s="18" t="s">
        <v>62</v>
      </c>
      <c r="L30" s="18" t="s">
        <v>62</v>
      </c>
      <c r="M30" s="18" t="s">
        <v>62</v>
      </c>
      <c r="N30" s="18"/>
      <c r="O30" s="18" t="s">
        <v>62</v>
      </c>
      <c r="P30" s="18" t="s">
        <v>60</v>
      </c>
      <c r="Q30" s="19" t="s">
        <v>60</v>
      </c>
      <c r="R30" s="15">
        <f t="shared" si="3"/>
        <v>0</v>
      </c>
      <c r="S30" s="15">
        <v>108.0</v>
      </c>
      <c r="T30" s="15">
        <v>7.0</v>
      </c>
      <c r="U30" s="20">
        <f t="shared" si="4"/>
        <v>0.06481481481</v>
      </c>
      <c r="V30" s="15">
        <f t="shared" si="5"/>
        <v>12</v>
      </c>
      <c r="W30" s="15">
        <v>10.0</v>
      </c>
      <c r="X30" s="20">
        <f t="shared" si="6"/>
        <v>0.09259259259</v>
      </c>
      <c r="Y30" s="15">
        <f t="shared" ref="Y30:Z30" si="64">AE30-W30</f>
        <v>5</v>
      </c>
      <c r="Z30" s="20">
        <f t="shared" si="64"/>
        <v>0.0462962963</v>
      </c>
      <c r="AA30" s="15">
        <v>15.0</v>
      </c>
      <c r="AB30" s="20">
        <f t="shared" si="8"/>
        <v>0.1388888889</v>
      </c>
      <c r="AC30" s="15">
        <f t="shared" ref="AC30:AD30" si="65">AE30-AA30</f>
        <v>0</v>
      </c>
      <c r="AD30" s="20">
        <f t="shared" si="65"/>
        <v>0</v>
      </c>
      <c r="AE30" s="15">
        <v>15.0</v>
      </c>
      <c r="AF30" s="20">
        <f t="shared" si="10"/>
        <v>0.1388888889</v>
      </c>
      <c r="AG30" s="15">
        <v>15.0</v>
      </c>
      <c r="AH30" s="20">
        <f t="shared" si="11"/>
        <v>0.1388888889</v>
      </c>
      <c r="AI30" s="15">
        <v>19.0</v>
      </c>
      <c r="AJ30" s="15">
        <v>0.0</v>
      </c>
      <c r="AK30" s="21">
        <v>0.0</v>
      </c>
      <c r="AL30" s="22">
        <v>0.175925925925926</v>
      </c>
      <c r="AM30" s="15">
        <v>0.0</v>
      </c>
      <c r="AN30" s="15">
        <v>89.0</v>
      </c>
      <c r="AO30" s="23" t="s">
        <v>63</v>
      </c>
      <c r="AP30" s="23" t="s">
        <v>64</v>
      </c>
      <c r="AQ30" s="13" t="s">
        <v>93</v>
      </c>
      <c r="AR30" s="24" t="s">
        <v>130</v>
      </c>
      <c r="AS30" s="24"/>
      <c r="AT30" s="25" t="s">
        <v>191</v>
      </c>
      <c r="AU30" s="26" t="s">
        <v>68</v>
      </c>
      <c r="AV30" s="36"/>
      <c r="AW30" s="24" t="s">
        <v>69</v>
      </c>
      <c r="AX30" s="28"/>
      <c r="AY30" s="29" t="s">
        <v>89</v>
      </c>
      <c r="AZ30" s="33"/>
      <c r="BA30" s="27"/>
      <c r="BB30" s="26" t="s">
        <v>90</v>
      </c>
      <c r="BC30" s="27"/>
      <c r="BD30" s="34" t="s">
        <v>91</v>
      </c>
      <c r="BE30" s="35"/>
      <c r="BF30" s="27"/>
      <c r="BG30" s="27"/>
      <c r="BH30" s="27"/>
    </row>
    <row r="31" ht="14.25" customHeight="1">
      <c r="A31" s="12" t="s">
        <v>192</v>
      </c>
      <c r="B31" s="12"/>
      <c r="C31" s="13"/>
      <c r="D31" s="14"/>
      <c r="E31" s="15"/>
      <c r="F31" s="19"/>
      <c r="G31" s="39"/>
      <c r="H31" s="18"/>
      <c r="I31" s="17">
        <v>0.06</v>
      </c>
      <c r="J31" s="18"/>
      <c r="K31" s="18" t="s">
        <v>62</v>
      </c>
      <c r="L31" s="18" t="s">
        <v>62</v>
      </c>
      <c r="M31" s="18" t="s">
        <v>62</v>
      </c>
      <c r="N31" s="18"/>
      <c r="O31" s="18" t="s">
        <v>60</v>
      </c>
      <c r="P31" s="18" t="s">
        <v>60</v>
      </c>
      <c r="Q31" s="19" t="s">
        <v>60</v>
      </c>
      <c r="R31" s="15">
        <f t="shared" si="3"/>
        <v>0</v>
      </c>
      <c r="S31" s="15">
        <v>38.0</v>
      </c>
      <c r="T31" s="15">
        <v>3.0</v>
      </c>
      <c r="U31" s="20">
        <f t="shared" si="4"/>
        <v>0.07894736842</v>
      </c>
      <c r="V31" s="15">
        <f t="shared" si="5"/>
        <v>21</v>
      </c>
      <c r="W31" s="15">
        <v>26.0</v>
      </c>
      <c r="X31" s="20">
        <f t="shared" si="6"/>
        <v>0.6842105263</v>
      </c>
      <c r="Y31" s="15">
        <f t="shared" ref="Y31:Z31" si="66">AE31-W31</f>
        <v>0</v>
      </c>
      <c r="Z31" s="20">
        <f t="shared" si="66"/>
        <v>0</v>
      </c>
      <c r="AA31" s="15">
        <v>26.0</v>
      </c>
      <c r="AB31" s="20">
        <f t="shared" si="8"/>
        <v>0.6842105263</v>
      </c>
      <c r="AC31" s="15">
        <f t="shared" ref="AC31:AD31" si="67">AE31-AA31</f>
        <v>0</v>
      </c>
      <c r="AD31" s="20">
        <f t="shared" si="67"/>
        <v>0</v>
      </c>
      <c r="AE31" s="15">
        <v>26.0</v>
      </c>
      <c r="AF31" s="20">
        <f t="shared" si="10"/>
        <v>0.6842105263</v>
      </c>
      <c r="AG31" s="15">
        <v>26.0</v>
      </c>
      <c r="AH31" s="20">
        <f t="shared" si="11"/>
        <v>0.6842105263</v>
      </c>
      <c r="AI31" s="15">
        <v>24.0</v>
      </c>
      <c r="AJ31" s="15">
        <v>2.0</v>
      </c>
      <c r="AK31" s="21">
        <v>0.0</v>
      </c>
      <c r="AL31" s="22">
        <v>0.684210526315789</v>
      </c>
      <c r="AM31" s="15">
        <v>13.0</v>
      </c>
      <c r="AN31" s="15">
        <v>12.0</v>
      </c>
      <c r="AO31" s="23" t="s">
        <v>63</v>
      </c>
      <c r="AP31" s="23" t="s">
        <v>64</v>
      </c>
      <c r="AQ31" s="13" t="s">
        <v>108</v>
      </c>
      <c r="AR31" s="24" t="s">
        <v>66</v>
      </c>
      <c r="AS31" s="24"/>
      <c r="AT31" s="25" t="s">
        <v>193</v>
      </c>
      <c r="AU31" s="26" t="s">
        <v>68</v>
      </c>
      <c r="AV31" s="36"/>
      <c r="AW31" s="24" t="s">
        <v>100</v>
      </c>
      <c r="AX31" s="28"/>
      <c r="AY31" s="29" t="s">
        <v>70</v>
      </c>
      <c r="AZ31" s="32"/>
      <c r="BA31" s="25" t="s">
        <v>194</v>
      </c>
      <c r="BB31" s="26" t="s">
        <v>168</v>
      </c>
      <c r="BC31" s="27"/>
      <c r="BD31" s="24"/>
      <c r="BE31" s="27"/>
      <c r="BF31" s="27"/>
      <c r="BG31" s="27"/>
      <c r="BH31" s="27"/>
    </row>
    <row r="32" ht="14.25" customHeight="1">
      <c r="A32" s="12" t="s">
        <v>195</v>
      </c>
      <c r="B32" s="12"/>
      <c r="C32" s="13"/>
      <c r="D32" s="14"/>
      <c r="E32" s="15"/>
      <c r="F32" s="15"/>
      <c r="G32" s="12"/>
      <c r="H32" s="16"/>
      <c r="I32" s="17">
        <v>0.007</v>
      </c>
      <c r="J32" s="18"/>
      <c r="K32" s="18" t="s">
        <v>84</v>
      </c>
      <c r="L32" s="18" t="s">
        <v>62</v>
      </c>
      <c r="M32" s="18" t="s">
        <v>62</v>
      </c>
      <c r="N32" s="18"/>
      <c r="O32" s="18" t="s">
        <v>60</v>
      </c>
      <c r="P32" s="18" t="s">
        <v>60</v>
      </c>
      <c r="Q32" s="19" t="s">
        <v>60</v>
      </c>
      <c r="R32" s="15">
        <f t="shared" si="3"/>
        <v>0</v>
      </c>
      <c r="S32" s="15">
        <v>102.0</v>
      </c>
      <c r="T32" s="15">
        <v>0.0</v>
      </c>
      <c r="U32" s="20">
        <f t="shared" si="4"/>
        <v>0</v>
      </c>
      <c r="V32" s="15">
        <f t="shared" si="5"/>
        <v>27</v>
      </c>
      <c r="W32" s="15">
        <v>14.0</v>
      </c>
      <c r="X32" s="20">
        <f t="shared" si="6"/>
        <v>0.137254902</v>
      </c>
      <c r="Y32" s="15">
        <f t="shared" ref="Y32:Z32" si="68">AE32-W32</f>
        <v>0</v>
      </c>
      <c r="Z32" s="20">
        <f t="shared" si="68"/>
        <v>0</v>
      </c>
      <c r="AA32" s="15">
        <v>14.0</v>
      </c>
      <c r="AB32" s="20">
        <f t="shared" si="8"/>
        <v>0.137254902</v>
      </c>
      <c r="AC32" s="15">
        <f t="shared" ref="AC32:AD32" si="69">AE32-AA32</f>
        <v>0</v>
      </c>
      <c r="AD32" s="20">
        <f t="shared" si="69"/>
        <v>0</v>
      </c>
      <c r="AE32" s="15">
        <v>14.0</v>
      </c>
      <c r="AF32" s="20">
        <f t="shared" si="10"/>
        <v>0.137254902</v>
      </c>
      <c r="AG32" s="15">
        <v>14.0</v>
      </c>
      <c r="AH32" s="20">
        <f t="shared" si="11"/>
        <v>0.137254902</v>
      </c>
      <c r="AI32" s="15">
        <v>27.0</v>
      </c>
      <c r="AJ32" s="15">
        <v>0.0</v>
      </c>
      <c r="AK32" s="21">
        <v>0.0</v>
      </c>
      <c r="AL32" s="22">
        <v>0.264705882352941</v>
      </c>
      <c r="AM32" s="15">
        <v>0.0</v>
      </c>
      <c r="AN32" s="15">
        <v>75.0</v>
      </c>
      <c r="AO32" s="23" t="s">
        <v>64</v>
      </c>
      <c r="AP32" s="23" t="s">
        <v>64</v>
      </c>
      <c r="AQ32" s="13" t="s">
        <v>104</v>
      </c>
      <c r="AR32" s="24" t="s">
        <v>130</v>
      </c>
      <c r="AS32" s="24"/>
      <c r="AT32" s="25" t="s">
        <v>196</v>
      </c>
      <c r="AU32" s="26" t="s">
        <v>68</v>
      </c>
      <c r="AV32" s="36"/>
      <c r="AW32" s="24" t="s">
        <v>69</v>
      </c>
      <c r="AX32" s="28"/>
      <c r="AY32" s="29" t="s">
        <v>70</v>
      </c>
      <c r="AZ32" s="30"/>
      <c r="BA32" s="25" t="s">
        <v>197</v>
      </c>
      <c r="BB32" s="26" t="s">
        <v>118</v>
      </c>
      <c r="BC32" s="27"/>
      <c r="BD32" s="24"/>
      <c r="BE32" s="27"/>
      <c r="BF32" s="27"/>
      <c r="BG32" s="27"/>
      <c r="BH32" s="27"/>
    </row>
    <row r="33" ht="14.25" customHeight="1">
      <c r="A33" s="12" t="s">
        <v>198</v>
      </c>
      <c r="B33" s="12"/>
      <c r="C33" s="13"/>
      <c r="D33" s="14"/>
      <c r="E33" s="15"/>
      <c r="F33" s="15"/>
      <c r="G33" s="12"/>
      <c r="H33" s="16"/>
      <c r="I33" s="17">
        <v>0.0522</v>
      </c>
      <c r="J33" s="18"/>
      <c r="K33" s="18" t="s">
        <v>84</v>
      </c>
      <c r="L33" s="18" t="s">
        <v>62</v>
      </c>
      <c r="M33" s="18" t="s">
        <v>62</v>
      </c>
      <c r="N33" s="18"/>
      <c r="O33" s="18" t="s">
        <v>62</v>
      </c>
      <c r="P33" s="18" t="s">
        <v>62</v>
      </c>
      <c r="Q33" s="18" t="s">
        <v>62</v>
      </c>
      <c r="R33" s="15">
        <f t="shared" si="3"/>
        <v>0</v>
      </c>
      <c r="S33" s="15">
        <v>50.0</v>
      </c>
      <c r="T33" s="15">
        <v>0.0</v>
      </c>
      <c r="U33" s="20">
        <f t="shared" si="4"/>
        <v>0</v>
      </c>
      <c r="V33" s="15">
        <f t="shared" si="5"/>
        <v>29</v>
      </c>
      <c r="W33" s="15">
        <v>16.0</v>
      </c>
      <c r="X33" s="20">
        <f t="shared" si="6"/>
        <v>0.32</v>
      </c>
      <c r="Y33" s="15">
        <f t="shared" ref="Y33:Z33" si="70">AE33-W33</f>
        <v>7</v>
      </c>
      <c r="Z33" s="20">
        <f t="shared" si="70"/>
        <v>0.14</v>
      </c>
      <c r="AA33" s="15">
        <v>16.0</v>
      </c>
      <c r="AB33" s="20">
        <f t="shared" si="8"/>
        <v>0.32</v>
      </c>
      <c r="AC33" s="15">
        <f t="shared" ref="AC33:AD33" si="71">AE33-AA33</f>
        <v>7</v>
      </c>
      <c r="AD33" s="20">
        <f t="shared" si="71"/>
        <v>0.14</v>
      </c>
      <c r="AE33" s="15">
        <v>23.0</v>
      </c>
      <c r="AF33" s="20">
        <f t="shared" si="10"/>
        <v>0.46</v>
      </c>
      <c r="AG33" s="15">
        <v>23.0</v>
      </c>
      <c r="AH33" s="20">
        <f t="shared" si="11"/>
        <v>0.46</v>
      </c>
      <c r="AI33" s="15">
        <v>29.0</v>
      </c>
      <c r="AJ33" s="15">
        <v>0.0</v>
      </c>
      <c r="AK33" s="21">
        <v>1.0</v>
      </c>
      <c r="AL33" s="22">
        <v>0.6</v>
      </c>
      <c r="AM33" s="15">
        <v>20.0</v>
      </c>
      <c r="AN33" s="15">
        <v>19.0</v>
      </c>
      <c r="AO33" s="23" t="s">
        <v>64</v>
      </c>
      <c r="AP33" s="23" t="s">
        <v>64</v>
      </c>
      <c r="AQ33" s="13" t="s">
        <v>93</v>
      </c>
      <c r="AR33" s="24" t="s">
        <v>66</v>
      </c>
      <c r="AS33" s="24"/>
      <c r="AT33" s="25" t="s">
        <v>199</v>
      </c>
      <c r="AU33" s="26" t="s">
        <v>68</v>
      </c>
      <c r="AV33" s="27"/>
      <c r="AW33" s="24" t="s">
        <v>79</v>
      </c>
      <c r="AX33" s="27"/>
      <c r="AY33" s="29" t="s">
        <v>110</v>
      </c>
      <c r="AZ33" s="32"/>
      <c r="BA33" s="25" t="s">
        <v>200</v>
      </c>
      <c r="BB33" s="26" t="s">
        <v>72</v>
      </c>
      <c r="BC33" s="27"/>
      <c r="BD33" s="24" t="s">
        <v>96</v>
      </c>
      <c r="BE33" s="25"/>
      <c r="BF33" s="27"/>
      <c r="BG33" s="27"/>
      <c r="BH33" s="27"/>
    </row>
    <row r="34" ht="14.25" customHeight="1">
      <c r="A34" s="12" t="s">
        <v>201</v>
      </c>
      <c r="B34" s="12"/>
      <c r="C34" s="13"/>
      <c r="D34" s="14"/>
      <c r="E34" s="15"/>
      <c r="F34" s="15"/>
      <c r="G34" s="12"/>
      <c r="H34" s="16"/>
      <c r="I34" s="17">
        <v>0.0392</v>
      </c>
      <c r="J34" s="18"/>
      <c r="K34" s="18"/>
      <c r="L34" s="18" t="s">
        <v>84</v>
      </c>
      <c r="M34" s="18" t="s">
        <v>202</v>
      </c>
      <c r="N34" s="18" t="s">
        <v>84</v>
      </c>
      <c r="O34" s="18" t="s">
        <v>86</v>
      </c>
      <c r="P34" s="18" t="s">
        <v>129</v>
      </c>
      <c r="Q34" s="19" t="s">
        <v>60</v>
      </c>
      <c r="R34" s="15">
        <f t="shared" si="3"/>
        <v>0</v>
      </c>
      <c r="S34" s="15">
        <v>36.0</v>
      </c>
      <c r="T34" s="15">
        <v>1.0</v>
      </c>
      <c r="U34" s="20">
        <f t="shared" si="4"/>
        <v>0.02777777778</v>
      </c>
      <c r="V34" s="15">
        <f t="shared" si="5"/>
        <v>35</v>
      </c>
      <c r="W34" s="15">
        <v>4.0</v>
      </c>
      <c r="X34" s="20">
        <f t="shared" si="6"/>
        <v>0.1111111111</v>
      </c>
      <c r="Y34" s="15">
        <f t="shared" ref="Y34:Z34" si="72">AE34-W34</f>
        <v>32</v>
      </c>
      <c r="Z34" s="20">
        <f t="shared" si="72"/>
        <v>0.8888888889</v>
      </c>
      <c r="AA34" s="15">
        <v>36.0</v>
      </c>
      <c r="AB34" s="20">
        <f t="shared" si="8"/>
        <v>1</v>
      </c>
      <c r="AC34" s="15">
        <f t="shared" ref="AC34:AD34" si="73">AE34-AA34</f>
        <v>0</v>
      </c>
      <c r="AD34" s="20">
        <f t="shared" si="73"/>
        <v>0</v>
      </c>
      <c r="AE34" s="15">
        <v>36.0</v>
      </c>
      <c r="AF34" s="20">
        <f t="shared" si="10"/>
        <v>1</v>
      </c>
      <c r="AG34" s="15">
        <v>36.0</v>
      </c>
      <c r="AH34" s="20">
        <f t="shared" si="11"/>
        <v>1</v>
      </c>
      <c r="AI34" s="15">
        <v>36.0</v>
      </c>
      <c r="AJ34" s="15">
        <v>0.0</v>
      </c>
      <c r="AK34" s="21">
        <v>0.0</v>
      </c>
      <c r="AL34" s="22">
        <v>1.0</v>
      </c>
      <c r="AM34" s="15">
        <v>0.0</v>
      </c>
      <c r="AN34" s="15">
        <v>0.0</v>
      </c>
      <c r="AO34" s="23" t="s">
        <v>64</v>
      </c>
      <c r="AP34" s="23" t="s">
        <v>64</v>
      </c>
      <c r="AQ34" s="13" t="s">
        <v>77</v>
      </c>
      <c r="AR34" s="24" t="s">
        <v>66</v>
      </c>
      <c r="AS34" s="24"/>
      <c r="AT34" s="25" t="s">
        <v>203</v>
      </c>
      <c r="AU34" s="26" t="s">
        <v>68</v>
      </c>
      <c r="AV34" s="36"/>
      <c r="AW34" s="24" t="s">
        <v>79</v>
      </c>
      <c r="AX34" s="28"/>
      <c r="AY34" s="29" t="s">
        <v>134</v>
      </c>
      <c r="AZ34" s="33"/>
      <c r="BA34" s="27"/>
      <c r="BB34" s="26" t="s">
        <v>90</v>
      </c>
      <c r="BC34" s="27"/>
      <c r="BD34" s="34" t="s">
        <v>91</v>
      </c>
      <c r="BE34" s="35"/>
      <c r="BF34" s="27"/>
      <c r="BG34" s="27"/>
      <c r="BH34" s="27"/>
    </row>
    <row r="35" ht="14.25" customHeight="1">
      <c r="A35" s="12" t="s">
        <v>204</v>
      </c>
      <c r="B35" s="12"/>
      <c r="C35" s="13"/>
      <c r="D35" s="14"/>
      <c r="E35" s="15"/>
      <c r="F35" s="15"/>
      <c r="G35" s="12"/>
      <c r="H35" s="16"/>
      <c r="I35" s="17">
        <v>0.9877</v>
      </c>
      <c r="J35" s="18" t="s">
        <v>205</v>
      </c>
      <c r="K35" s="18" t="s">
        <v>206</v>
      </c>
      <c r="L35" s="18" t="s">
        <v>61</v>
      </c>
      <c r="M35" s="18" t="s">
        <v>60</v>
      </c>
      <c r="N35" s="18"/>
      <c r="O35" s="18" t="s">
        <v>60</v>
      </c>
      <c r="P35" s="18" t="s">
        <v>60</v>
      </c>
      <c r="Q35" s="19" t="s">
        <v>60</v>
      </c>
      <c r="R35" s="15">
        <f t="shared" si="3"/>
        <v>0</v>
      </c>
      <c r="S35" s="15">
        <v>125.0</v>
      </c>
      <c r="T35" s="15">
        <v>123.0</v>
      </c>
      <c r="U35" s="20">
        <f t="shared" si="4"/>
        <v>0.984</v>
      </c>
      <c r="V35" s="15">
        <f t="shared" si="5"/>
        <v>0</v>
      </c>
      <c r="W35" s="15">
        <v>123.0</v>
      </c>
      <c r="X35" s="20">
        <f t="shared" si="6"/>
        <v>0.984</v>
      </c>
      <c r="Y35" s="15">
        <f t="shared" ref="Y35:Z35" si="74">AE35-W35</f>
        <v>0</v>
      </c>
      <c r="Z35" s="20">
        <f t="shared" si="74"/>
        <v>0</v>
      </c>
      <c r="AA35" s="15">
        <v>123.0</v>
      </c>
      <c r="AB35" s="20">
        <f t="shared" si="8"/>
        <v>0.984</v>
      </c>
      <c r="AC35" s="15">
        <f t="shared" ref="AC35:AD35" si="75">AE35-AA35</f>
        <v>0</v>
      </c>
      <c r="AD35" s="20">
        <f t="shared" si="75"/>
        <v>0</v>
      </c>
      <c r="AE35" s="15">
        <v>123.0</v>
      </c>
      <c r="AF35" s="20">
        <f t="shared" si="10"/>
        <v>0.984</v>
      </c>
      <c r="AG35" s="15">
        <v>123.0</v>
      </c>
      <c r="AH35" s="20">
        <f t="shared" si="11"/>
        <v>0.984</v>
      </c>
      <c r="AI35" s="15">
        <v>123.0</v>
      </c>
      <c r="AJ35" s="15">
        <v>0.0</v>
      </c>
      <c r="AK35" s="21">
        <v>0.0</v>
      </c>
      <c r="AL35" s="22">
        <v>0.984</v>
      </c>
      <c r="AM35" s="15">
        <v>2.0</v>
      </c>
      <c r="AN35" s="15">
        <v>2.0</v>
      </c>
      <c r="AO35" s="23" t="s">
        <v>64</v>
      </c>
      <c r="AP35" s="23" t="s">
        <v>64</v>
      </c>
      <c r="AQ35" s="13" t="s">
        <v>108</v>
      </c>
      <c r="AR35" s="24" t="s">
        <v>66</v>
      </c>
      <c r="AS35" s="24"/>
      <c r="AT35" s="25" t="s">
        <v>207</v>
      </c>
      <c r="AU35" s="26" t="s">
        <v>88</v>
      </c>
      <c r="AV35" s="27"/>
      <c r="AW35" s="24" t="s">
        <v>69</v>
      </c>
      <c r="AX35" s="28"/>
      <c r="AY35" s="29" t="s">
        <v>70</v>
      </c>
      <c r="AZ35" s="32"/>
      <c r="BA35" s="25" t="s">
        <v>208</v>
      </c>
      <c r="BB35" s="26" t="s">
        <v>72</v>
      </c>
      <c r="BC35" s="27"/>
      <c r="BD35" s="24" t="s">
        <v>73</v>
      </c>
      <c r="BE35" s="27"/>
      <c r="BF35" s="27"/>
      <c r="BG35" s="27"/>
      <c r="BH35" s="27"/>
    </row>
    <row r="36" ht="14.25" customHeight="1">
      <c r="A36" s="12" t="s">
        <v>209</v>
      </c>
      <c r="B36" s="12"/>
      <c r="C36" s="13"/>
      <c r="D36" s="14"/>
      <c r="E36" s="15"/>
      <c r="F36" s="15"/>
      <c r="G36" s="12"/>
      <c r="H36" s="16"/>
      <c r="I36" s="17">
        <v>0.0</v>
      </c>
      <c r="J36" s="18"/>
      <c r="K36" s="18"/>
      <c r="L36" s="18" t="s">
        <v>84</v>
      </c>
      <c r="M36" s="18" t="s">
        <v>84</v>
      </c>
      <c r="N36" s="18"/>
      <c r="O36" s="18" t="s">
        <v>84</v>
      </c>
      <c r="P36" s="18" t="s">
        <v>84</v>
      </c>
      <c r="Q36" s="18" t="s">
        <v>84</v>
      </c>
      <c r="R36" s="15">
        <f t="shared" si="3"/>
        <v>0</v>
      </c>
      <c r="S36" s="15">
        <v>135.0</v>
      </c>
      <c r="T36" s="15">
        <v>0.0</v>
      </c>
      <c r="U36" s="20">
        <f t="shared" si="4"/>
        <v>0</v>
      </c>
      <c r="V36" s="15">
        <f t="shared" si="5"/>
        <v>53</v>
      </c>
      <c r="W36" s="15">
        <v>0.0</v>
      </c>
      <c r="X36" s="20">
        <f t="shared" si="6"/>
        <v>0</v>
      </c>
      <c r="Y36" s="15">
        <f t="shared" ref="Y36:Z36" si="76">AE36-W36</f>
        <v>53</v>
      </c>
      <c r="Z36" s="20">
        <f t="shared" si="76"/>
        <v>0.3925925926</v>
      </c>
      <c r="AA36" s="15">
        <v>0.0</v>
      </c>
      <c r="AB36" s="20">
        <f t="shared" si="8"/>
        <v>0</v>
      </c>
      <c r="AC36" s="15">
        <f t="shared" ref="AC36:AD36" si="77">AE36-AA36</f>
        <v>53</v>
      </c>
      <c r="AD36" s="20">
        <f t="shared" si="77"/>
        <v>0.3925925926</v>
      </c>
      <c r="AE36" s="15">
        <v>53.0</v>
      </c>
      <c r="AF36" s="20">
        <f t="shared" si="10"/>
        <v>0.3925925926</v>
      </c>
      <c r="AG36" s="15">
        <v>53.0</v>
      </c>
      <c r="AH36" s="20">
        <f t="shared" si="11"/>
        <v>0.3925925926</v>
      </c>
      <c r="AI36" s="15">
        <v>53.0</v>
      </c>
      <c r="AJ36" s="15">
        <v>0.0</v>
      </c>
      <c r="AK36" s="21">
        <v>0.0</v>
      </c>
      <c r="AL36" s="22">
        <v>0.392592592592593</v>
      </c>
      <c r="AM36" s="15">
        <v>82.0</v>
      </c>
      <c r="AN36" s="15">
        <v>81.0</v>
      </c>
      <c r="AO36" s="23" t="s">
        <v>64</v>
      </c>
      <c r="AP36" s="23" t="s">
        <v>64</v>
      </c>
      <c r="AQ36" s="13" t="s">
        <v>93</v>
      </c>
      <c r="AR36" s="24" t="s">
        <v>66</v>
      </c>
      <c r="AS36" s="24"/>
      <c r="AT36" s="25" t="s">
        <v>210</v>
      </c>
      <c r="AU36" s="26" t="s">
        <v>106</v>
      </c>
      <c r="AV36" s="27"/>
      <c r="AW36" s="24" t="s">
        <v>69</v>
      </c>
      <c r="AX36" s="27"/>
      <c r="AY36" s="29" t="s">
        <v>89</v>
      </c>
      <c r="AZ36" s="33"/>
      <c r="BA36" s="27"/>
      <c r="BB36" s="26" t="s">
        <v>90</v>
      </c>
      <c r="BC36" s="27"/>
      <c r="BD36" s="34" t="s">
        <v>91</v>
      </c>
      <c r="BE36" s="35"/>
      <c r="BF36" s="27"/>
      <c r="BG36" s="27"/>
      <c r="BH36" s="27"/>
    </row>
    <row r="37" ht="14.25" customHeight="1">
      <c r="A37" s="43" t="s">
        <v>211</v>
      </c>
      <c r="B37" s="43"/>
      <c r="C37" s="44"/>
      <c r="D37" s="45"/>
      <c r="E37" s="46"/>
      <c r="F37" s="46"/>
      <c r="G37" s="43"/>
      <c r="H37" s="47"/>
      <c r="I37" s="17">
        <v>0.0948</v>
      </c>
      <c r="J37" s="18"/>
      <c r="K37" s="18" t="s">
        <v>62</v>
      </c>
      <c r="L37" s="18" t="s">
        <v>62</v>
      </c>
      <c r="M37" s="18" t="s">
        <v>62</v>
      </c>
      <c r="N37" s="18"/>
      <c r="O37" s="18" t="s">
        <v>62</v>
      </c>
      <c r="P37" s="18" t="s">
        <v>62</v>
      </c>
      <c r="Q37" s="18" t="s">
        <v>86</v>
      </c>
      <c r="R37" s="46">
        <f t="shared" si="3"/>
        <v>0</v>
      </c>
      <c r="S37" s="46">
        <v>90.0</v>
      </c>
      <c r="T37" s="15">
        <v>8.0</v>
      </c>
      <c r="U37" s="20">
        <f t="shared" si="4"/>
        <v>0.08888888889</v>
      </c>
      <c r="V37" s="15">
        <f t="shared" si="5"/>
        <v>5</v>
      </c>
      <c r="W37" s="15">
        <v>11.0</v>
      </c>
      <c r="X37" s="20">
        <f t="shared" si="6"/>
        <v>0.1222222222</v>
      </c>
      <c r="Y37" s="15">
        <f t="shared" ref="Y37:Z37" si="78">AE37-W37</f>
        <v>4</v>
      </c>
      <c r="Z37" s="20">
        <f t="shared" si="78"/>
        <v>0.04444444444</v>
      </c>
      <c r="AA37" s="15">
        <v>11.0</v>
      </c>
      <c r="AB37" s="20">
        <f t="shared" si="8"/>
        <v>0.1222222222</v>
      </c>
      <c r="AC37" s="15">
        <f t="shared" ref="AC37:AD37" si="79">AE37-AA37</f>
        <v>4</v>
      </c>
      <c r="AD37" s="20">
        <f t="shared" si="79"/>
        <v>0.04444444444</v>
      </c>
      <c r="AE37" s="46">
        <v>15.0</v>
      </c>
      <c r="AF37" s="48">
        <f t="shared" si="10"/>
        <v>0.1666666667</v>
      </c>
      <c r="AG37" s="46">
        <v>15.0</v>
      </c>
      <c r="AH37" s="48">
        <f t="shared" si="11"/>
        <v>0.1666666667</v>
      </c>
      <c r="AI37" s="46">
        <v>13.0</v>
      </c>
      <c r="AJ37" s="46">
        <v>0.0</v>
      </c>
      <c r="AK37" s="49">
        <v>0.0</v>
      </c>
      <c r="AL37" s="50">
        <v>0.144444444444444</v>
      </c>
      <c r="AM37" s="46">
        <v>77.0</v>
      </c>
      <c r="AN37" s="46">
        <v>53.0</v>
      </c>
      <c r="AO37" s="51" t="s">
        <v>63</v>
      </c>
      <c r="AP37" s="51" t="s">
        <v>64</v>
      </c>
      <c r="AQ37" s="44" t="s">
        <v>93</v>
      </c>
      <c r="AR37" s="34" t="s">
        <v>66</v>
      </c>
      <c r="AS37" s="34"/>
      <c r="AT37" s="52" t="s">
        <v>212</v>
      </c>
      <c r="AU37" s="53" t="s">
        <v>68</v>
      </c>
      <c r="AV37" s="54"/>
      <c r="AW37" s="34" t="s">
        <v>54</v>
      </c>
      <c r="AX37" s="52" t="s">
        <v>213</v>
      </c>
      <c r="AY37" s="29" t="s">
        <v>89</v>
      </c>
      <c r="AZ37" s="37"/>
      <c r="BA37" s="54"/>
      <c r="BB37" s="26" t="s">
        <v>90</v>
      </c>
      <c r="BC37" s="54"/>
      <c r="BD37" s="34" t="s">
        <v>91</v>
      </c>
      <c r="BE37" s="38"/>
      <c r="BF37" s="54"/>
      <c r="BG37" s="54"/>
      <c r="BH37" s="54"/>
    </row>
    <row r="38" ht="14.25" customHeight="1">
      <c r="A38" s="12" t="s">
        <v>214</v>
      </c>
      <c r="B38" s="12"/>
      <c r="C38" s="13"/>
      <c r="D38" s="14"/>
      <c r="E38" s="15"/>
      <c r="F38" s="15"/>
      <c r="G38" s="12"/>
      <c r="H38" s="16"/>
      <c r="I38" s="17">
        <v>0.0635</v>
      </c>
      <c r="J38" s="18"/>
      <c r="K38" s="18"/>
      <c r="L38" s="18" t="s">
        <v>84</v>
      </c>
      <c r="M38" s="18" t="s">
        <v>202</v>
      </c>
      <c r="N38" s="18" t="s">
        <v>84</v>
      </c>
      <c r="O38" s="18" t="s">
        <v>86</v>
      </c>
      <c r="P38" s="18" t="s">
        <v>129</v>
      </c>
      <c r="Q38" s="19" t="s">
        <v>60</v>
      </c>
      <c r="R38" s="15">
        <f t="shared" si="3"/>
        <v>0</v>
      </c>
      <c r="S38" s="15">
        <v>58.0</v>
      </c>
      <c r="T38" s="15">
        <v>1.0</v>
      </c>
      <c r="U38" s="20">
        <f t="shared" si="4"/>
        <v>0.01724137931</v>
      </c>
      <c r="V38" s="15">
        <f t="shared" si="5"/>
        <v>23</v>
      </c>
      <c r="W38" s="15">
        <v>1.0</v>
      </c>
      <c r="X38" s="20">
        <f t="shared" si="6"/>
        <v>0.01724137931</v>
      </c>
      <c r="Y38" s="15">
        <f t="shared" ref="Y38:Z38" si="80">AE38-W38</f>
        <v>23</v>
      </c>
      <c r="Z38" s="20">
        <f t="shared" si="80"/>
        <v>0.3965517241</v>
      </c>
      <c r="AA38" s="15">
        <v>24.0</v>
      </c>
      <c r="AB38" s="20">
        <f t="shared" si="8"/>
        <v>0.4137931034</v>
      </c>
      <c r="AC38" s="15">
        <f t="shared" ref="AC38:AD38" si="81">AE38-AA38</f>
        <v>0</v>
      </c>
      <c r="AD38" s="20">
        <f t="shared" si="81"/>
        <v>0</v>
      </c>
      <c r="AE38" s="15">
        <v>24.0</v>
      </c>
      <c r="AF38" s="20">
        <f t="shared" si="10"/>
        <v>0.4137931034</v>
      </c>
      <c r="AG38" s="15">
        <v>24.0</v>
      </c>
      <c r="AH38" s="20">
        <f t="shared" si="11"/>
        <v>0.4137931034</v>
      </c>
      <c r="AI38" s="15">
        <v>24.0</v>
      </c>
      <c r="AJ38" s="15">
        <v>0.0</v>
      </c>
      <c r="AK38" s="21">
        <v>0.0</v>
      </c>
      <c r="AL38" s="22">
        <v>0.413793103448276</v>
      </c>
      <c r="AM38" s="15">
        <v>34.0</v>
      </c>
      <c r="AN38" s="15">
        <v>34.0</v>
      </c>
      <c r="AO38" s="23" t="s">
        <v>63</v>
      </c>
      <c r="AP38" s="23" t="s">
        <v>64</v>
      </c>
      <c r="AQ38" s="13" t="s">
        <v>65</v>
      </c>
      <c r="AR38" s="24" t="s">
        <v>66</v>
      </c>
      <c r="AS38" s="24"/>
      <c r="AT38" s="25" t="s">
        <v>215</v>
      </c>
      <c r="AU38" s="26" t="s">
        <v>68</v>
      </c>
      <c r="AV38" s="27"/>
      <c r="AW38" s="24" t="s">
        <v>69</v>
      </c>
      <c r="AX38" s="28"/>
      <c r="AY38" s="29" t="s">
        <v>134</v>
      </c>
      <c r="AZ38" s="33"/>
      <c r="BA38" s="27"/>
      <c r="BB38" s="26" t="s">
        <v>90</v>
      </c>
      <c r="BC38" s="27"/>
      <c r="BD38" s="34" t="s">
        <v>91</v>
      </c>
      <c r="BE38" s="35"/>
      <c r="BF38" s="27"/>
      <c r="BG38" s="27"/>
      <c r="BH38" s="27"/>
    </row>
    <row r="39" ht="14.25" customHeight="1">
      <c r="A39" s="12" t="s">
        <v>216</v>
      </c>
      <c r="B39" s="12"/>
      <c r="C39" s="13"/>
      <c r="D39" s="14"/>
      <c r="E39" s="15"/>
      <c r="F39" s="19"/>
      <c r="G39" s="39"/>
      <c r="H39" s="18"/>
      <c r="I39" s="17">
        <v>0.76</v>
      </c>
      <c r="J39" s="18"/>
      <c r="K39" s="18" t="s">
        <v>75</v>
      </c>
      <c r="L39" s="18" t="s">
        <v>76</v>
      </c>
      <c r="M39" s="18" t="s">
        <v>202</v>
      </c>
      <c r="N39" s="18"/>
      <c r="O39" s="18" t="s">
        <v>60</v>
      </c>
      <c r="P39" s="18" t="s">
        <v>60</v>
      </c>
      <c r="Q39" s="19" t="s">
        <v>60</v>
      </c>
      <c r="R39" s="15">
        <f t="shared" si="3"/>
        <v>0</v>
      </c>
      <c r="S39" s="15">
        <v>20.0</v>
      </c>
      <c r="T39" s="15">
        <v>16.0</v>
      </c>
      <c r="U39" s="20">
        <f t="shared" si="4"/>
        <v>0.8</v>
      </c>
      <c r="V39" s="15">
        <f t="shared" si="5"/>
        <v>3</v>
      </c>
      <c r="W39" s="15">
        <v>19.0</v>
      </c>
      <c r="X39" s="20">
        <f t="shared" si="6"/>
        <v>0.95</v>
      </c>
      <c r="Y39" s="15">
        <f t="shared" ref="Y39:Z39" si="82">AE39-W39</f>
        <v>0</v>
      </c>
      <c r="Z39" s="20">
        <f t="shared" si="82"/>
        <v>0</v>
      </c>
      <c r="AA39" s="15">
        <v>19.0</v>
      </c>
      <c r="AB39" s="20">
        <f t="shared" si="8"/>
        <v>0.95</v>
      </c>
      <c r="AC39" s="15">
        <f t="shared" ref="AC39:AD39" si="83">AE39-AA39</f>
        <v>0</v>
      </c>
      <c r="AD39" s="20">
        <f t="shared" si="83"/>
        <v>0</v>
      </c>
      <c r="AE39" s="15">
        <v>19.0</v>
      </c>
      <c r="AF39" s="20">
        <f t="shared" si="10"/>
        <v>0.95</v>
      </c>
      <c r="AG39" s="15">
        <v>19.0</v>
      </c>
      <c r="AH39" s="20">
        <f t="shared" si="11"/>
        <v>0.95</v>
      </c>
      <c r="AI39" s="15">
        <v>19.0</v>
      </c>
      <c r="AJ39" s="15">
        <v>0.0</v>
      </c>
      <c r="AK39" s="21">
        <v>0.0</v>
      </c>
      <c r="AL39" s="22">
        <v>0.95</v>
      </c>
      <c r="AM39" s="15">
        <v>1.0</v>
      </c>
      <c r="AN39" s="15">
        <v>1.0</v>
      </c>
      <c r="AO39" s="23" t="s">
        <v>63</v>
      </c>
      <c r="AP39" s="23" t="s">
        <v>64</v>
      </c>
      <c r="AQ39" s="13" t="s">
        <v>65</v>
      </c>
      <c r="AR39" s="24" t="s">
        <v>66</v>
      </c>
      <c r="AS39" s="24"/>
      <c r="AT39" s="25" t="s">
        <v>217</v>
      </c>
      <c r="AU39" s="26" t="s">
        <v>68</v>
      </c>
      <c r="AV39" s="36"/>
      <c r="AW39" s="24" t="s">
        <v>79</v>
      </c>
      <c r="AX39" s="28"/>
      <c r="AY39" s="29" t="s">
        <v>70</v>
      </c>
      <c r="AZ39" s="32"/>
      <c r="BA39" s="25" t="s">
        <v>218</v>
      </c>
      <c r="BB39" s="26" t="s">
        <v>72</v>
      </c>
      <c r="BC39" s="27"/>
      <c r="BD39" s="24" t="s">
        <v>96</v>
      </c>
      <c r="BE39" s="27"/>
      <c r="BF39" s="27"/>
      <c r="BG39" s="27"/>
      <c r="BH39" s="27"/>
    </row>
    <row r="40" ht="14.25" customHeight="1">
      <c r="A40" s="12" t="s">
        <v>219</v>
      </c>
      <c r="B40" s="12"/>
      <c r="C40" s="13"/>
      <c r="D40" s="14"/>
      <c r="E40" s="15"/>
      <c r="F40" s="15"/>
      <c r="G40" s="12"/>
      <c r="H40" s="16"/>
      <c r="I40" s="17">
        <v>0.0258</v>
      </c>
      <c r="J40" s="18"/>
      <c r="K40" s="18"/>
      <c r="L40" s="18" t="s">
        <v>84</v>
      </c>
      <c r="M40" s="18" t="s">
        <v>62</v>
      </c>
      <c r="N40" s="18" t="s">
        <v>62</v>
      </c>
      <c r="O40" s="18" t="s">
        <v>129</v>
      </c>
      <c r="P40" s="18" t="s">
        <v>86</v>
      </c>
      <c r="Q40" s="18" t="s">
        <v>129</v>
      </c>
      <c r="R40" s="15">
        <f t="shared" si="3"/>
        <v>0</v>
      </c>
      <c r="S40" s="15">
        <v>102.0</v>
      </c>
      <c r="T40" s="15">
        <v>0.0</v>
      </c>
      <c r="U40" s="20">
        <f t="shared" si="4"/>
        <v>0</v>
      </c>
      <c r="V40" s="15">
        <f t="shared" si="5"/>
        <v>15</v>
      </c>
      <c r="W40" s="15">
        <v>0.0</v>
      </c>
      <c r="X40" s="20">
        <f t="shared" si="6"/>
        <v>0</v>
      </c>
      <c r="Y40" s="15">
        <f t="shared" ref="Y40:Z40" si="84">AE40-W40</f>
        <v>15</v>
      </c>
      <c r="Z40" s="20">
        <f t="shared" si="84"/>
        <v>0.1470588235</v>
      </c>
      <c r="AA40" s="15">
        <v>2.0</v>
      </c>
      <c r="AB40" s="20">
        <f t="shared" si="8"/>
        <v>0.01960784314</v>
      </c>
      <c r="AC40" s="15">
        <f t="shared" ref="AC40:AD40" si="85">AE40-AA40</f>
        <v>13</v>
      </c>
      <c r="AD40" s="20">
        <f t="shared" si="85"/>
        <v>0.1274509804</v>
      </c>
      <c r="AE40" s="15">
        <v>15.0</v>
      </c>
      <c r="AF40" s="20">
        <f t="shared" si="10"/>
        <v>0.1470588235</v>
      </c>
      <c r="AG40" s="15">
        <v>15.0</v>
      </c>
      <c r="AH40" s="20">
        <f t="shared" si="11"/>
        <v>0.1470588235</v>
      </c>
      <c r="AI40" s="15">
        <v>15.0</v>
      </c>
      <c r="AJ40" s="15">
        <v>0.0</v>
      </c>
      <c r="AK40" s="21">
        <v>0.0</v>
      </c>
      <c r="AL40" s="22">
        <v>0.147058823529412</v>
      </c>
      <c r="AM40" s="15">
        <v>87.0</v>
      </c>
      <c r="AN40" s="15">
        <v>67.0</v>
      </c>
      <c r="AO40" s="23" t="s">
        <v>63</v>
      </c>
      <c r="AP40" s="23" t="s">
        <v>64</v>
      </c>
      <c r="AQ40" s="13" t="s">
        <v>93</v>
      </c>
      <c r="AR40" s="24" t="s">
        <v>66</v>
      </c>
      <c r="AS40" s="24"/>
      <c r="AT40" s="25" t="s">
        <v>220</v>
      </c>
      <c r="AU40" s="26" t="s">
        <v>68</v>
      </c>
      <c r="AV40" s="27"/>
      <c r="AW40" s="24" t="s">
        <v>69</v>
      </c>
      <c r="AX40" s="28"/>
      <c r="AY40" s="29" t="s">
        <v>134</v>
      </c>
      <c r="AZ40" s="33"/>
      <c r="BA40" s="27"/>
      <c r="BB40" s="26" t="s">
        <v>90</v>
      </c>
      <c r="BC40" s="27"/>
      <c r="BD40" s="34" t="s">
        <v>91</v>
      </c>
      <c r="BE40" s="35"/>
      <c r="BF40" s="27"/>
      <c r="BG40" s="27"/>
      <c r="BH40" s="27"/>
    </row>
    <row r="41" ht="14.25" customHeight="1">
      <c r="A41" s="12" t="s">
        <v>221</v>
      </c>
      <c r="B41" s="12"/>
      <c r="C41" s="59"/>
      <c r="D41" s="14"/>
      <c r="E41" s="15"/>
      <c r="F41" s="19"/>
      <c r="G41" s="39"/>
      <c r="H41" s="18"/>
      <c r="I41" s="17">
        <v>0.5</v>
      </c>
      <c r="J41" s="18" t="s">
        <v>114</v>
      </c>
      <c r="K41" s="18" t="s">
        <v>222</v>
      </c>
      <c r="L41" s="18" t="s">
        <v>60</v>
      </c>
      <c r="M41" s="18" t="s">
        <v>60</v>
      </c>
      <c r="N41" s="18"/>
      <c r="O41" s="18" t="s">
        <v>60</v>
      </c>
      <c r="P41" s="18" t="s">
        <v>60</v>
      </c>
      <c r="Q41" s="19" t="s">
        <v>60</v>
      </c>
      <c r="R41" s="15">
        <f t="shared" si="3"/>
        <v>0</v>
      </c>
      <c r="S41" s="15">
        <v>34.0</v>
      </c>
      <c r="T41" s="15">
        <v>17.0</v>
      </c>
      <c r="U41" s="20">
        <f t="shared" si="4"/>
        <v>0.5</v>
      </c>
      <c r="V41" s="15">
        <f t="shared" si="5"/>
        <v>0</v>
      </c>
      <c r="W41" s="15">
        <v>17.0</v>
      </c>
      <c r="X41" s="20">
        <f t="shared" si="6"/>
        <v>0.5</v>
      </c>
      <c r="Y41" s="15">
        <f t="shared" ref="Y41:Z41" si="86">AE41-W41</f>
        <v>0</v>
      </c>
      <c r="Z41" s="20">
        <f t="shared" si="86"/>
        <v>0</v>
      </c>
      <c r="AA41" s="15">
        <v>17.0</v>
      </c>
      <c r="AB41" s="20">
        <f t="shared" si="8"/>
        <v>0.5</v>
      </c>
      <c r="AC41" s="15">
        <f t="shared" ref="AC41:AD41" si="87">AE41-AA41</f>
        <v>0</v>
      </c>
      <c r="AD41" s="20">
        <f t="shared" si="87"/>
        <v>0</v>
      </c>
      <c r="AE41" s="15">
        <v>17.0</v>
      </c>
      <c r="AF41" s="20">
        <f t="shared" si="10"/>
        <v>0.5</v>
      </c>
      <c r="AG41" s="15">
        <v>17.0</v>
      </c>
      <c r="AH41" s="20">
        <f t="shared" si="11"/>
        <v>0.5</v>
      </c>
      <c r="AI41" s="15">
        <v>17.0</v>
      </c>
      <c r="AJ41" s="15">
        <v>0.0</v>
      </c>
      <c r="AK41" s="21">
        <v>0.0</v>
      </c>
      <c r="AL41" s="22">
        <v>0.5</v>
      </c>
      <c r="AM41" s="15">
        <v>17.0</v>
      </c>
      <c r="AN41" s="15">
        <v>17.0</v>
      </c>
      <c r="AO41" s="23" t="s">
        <v>63</v>
      </c>
      <c r="AP41" s="23" t="s">
        <v>64</v>
      </c>
      <c r="AQ41" s="13" t="s">
        <v>104</v>
      </c>
      <c r="AR41" s="24" t="s">
        <v>130</v>
      </c>
      <c r="AS41" s="24"/>
      <c r="AT41" s="25" t="s">
        <v>223</v>
      </c>
      <c r="AU41" s="26" t="s">
        <v>224</v>
      </c>
      <c r="AV41" s="27"/>
      <c r="AW41" s="24" t="s">
        <v>133</v>
      </c>
      <c r="AX41" s="27"/>
      <c r="AY41" s="29" t="s">
        <v>173</v>
      </c>
      <c r="AZ41" s="61"/>
      <c r="BA41" s="28"/>
      <c r="BB41" s="26"/>
      <c r="BC41" s="27"/>
      <c r="BD41" s="24"/>
      <c r="BE41" s="27"/>
      <c r="BF41" s="27"/>
      <c r="BG41" s="27"/>
      <c r="BH41" s="27"/>
    </row>
    <row r="42" ht="14.25" customHeight="1">
      <c r="A42" s="12" t="s">
        <v>225</v>
      </c>
      <c r="B42" s="12"/>
      <c r="C42" s="13"/>
      <c r="D42" s="14"/>
      <c r="E42" s="15"/>
      <c r="F42" s="15"/>
      <c r="G42" s="12"/>
      <c r="H42" s="16"/>
      <c r="I42" s="17">
        <v>0.0833</v>
      </c>
      <c r="J42" s="18"/>
      <c r="K42" s="18" t="s">
        <v>62</v>
      </c>
      <c r="L42" s="18" t="s">
        <v>62</v>
      </c>
      <c r="M42" s="18" t="s">
        <v>62</v>
      </c>
      <c r="N42" s="18"/>
      <c r="O42" s="18" t="s">
        <v>62</v>
      </c>
      <c r="P42" s="18" t="s">
        <v>62</v>
      </c>
      <c r="Q42" s="18" t="s">
        <v>62</v>
      </c>
      <c r="R42" s="15">
        <f t="shared" si="3"/>
        <v>0</v>
      </c>
      <c r="S42" s="15">
        <v>36.0</v>
      </c>
      <c r="T42" s="15">
        <v>5.0</v>
      </c>
      <c r="U42" s="20">
        <f t="shared" si="4"/>
        <v>0.1388888889</v>
      </c>
      <c r="V42" s="15">
        <f t="shared" si="5"/>
        <v>10</v>
      </c>
      <c r="W42" s="15">
        <v>5.0</v>
      </c>
      <c r="X42" s="20">
        <f t="shared" si="6"/>
        <v>0.1388888889</v>
      </c>
      <c r="Y42" s="15">
        <f t="shared" ref="Y42:Z42" si="88">AE42-W42</f>
        <v>10</v>
      </c>
      <c r="Z42" s="20">
        <f t="shared" si="88"/>
        <v>0.2777777778</v>
      </c>
      <c r="AA42" s="15">
        <v>5.0</v>
      </c>
      <c r="AB42" s="20">
        <f t="shared" si="8"/>
        <v>0.1388888889</v>
      </c>
      <c r="AC42" s="15">
        <f t="shared" ref="AC42:AD42" si="89">AE42-AA42</f>
        <v>10</v>
      </c>
      <c r="AD42" s="20">
        <f t="shared" si="89"/>
        <v>0.2777777778</v>
      </c>
      <c r="AE42" s="15">
        <v>15.0</v>
      </c>
      <c r="AF42" s="20">
        <f t="shared" si="10"/>
        <v>0.4166666667</v>
      </c>
      <c r="AG42" s="15">
        <v>15.0</v>
      </c>
      <c r="AH42" s="20">
        <f t="shared" si="11"/>
        <v>0.4166666667</v>
      </c>
      <c r="AI42" s="15">
        <v>15.0</v>
      </c>
      <c r="AJ42" s="15">
        <v>0.0</v>
      </c>
      <c r="AK42" s="21">
        <v>0.0</v>
      </c>
      <c r="AL42" s="22">
        <v>0.416666666666667</v>
      </c>
      <c r="AM42" s="15">
        <v>0.0</v>
      </c>
      <c r="AN42" s="15">
        <v>21.0</v>
      </c>
      <c r="AO42" s="23" t="s">
        <v>63</v>
      </c>
      <c r="AP42" s="23" t="s">
        <v>64</v>
      </c>
      <c r="AQ42" s="13" t="s">
        <v>77</v>
      </c>
      <c r="AR42" s="24" t="s">
        <v>130</v>
      </c>
      <c r="AS42" s="24"/>
      <c r="AT42" s="25" t="s">
        <v>226</v>
      </c>
      <c r="AU42" s="26" t="s">
        <v>68</v>
      </c>
      <c r="AV42" s="27"/>
      <c r="AW42" s="24" t="s">
        <v>69</v>
      </c>
      <c r="AX42" s="27"/>
      <c r="AY42" s="29" t="s">
        <v>89</v>
      </c>
      <c r="AZ42" s="33"/>
      <c r="BA42" s="27"/>
      <c r="BB42" s="26" t="s">
        <v>90</v>
      </c>
      <c r="BC42" s="27"/>
      <c r="BD42" s="34" t="s">
        <v>91</v>
      </c>
      <c r="BE42" s="35"/>
      <c r="BF42" s="27"/>
      <c r="BG42" s="27"/>
      <c r="BH42" s="27"/>
    </row>
    <row r="43" ht="14.25" customHeight="1">
      <c r="A43" s="12" t="s">
        <v>227</v>
      </c>
      <c r="B43" s="12"/>
      <c r="C43" s="13"/>
      <c r="D43" s="14"/>
      <c r="E43" s="15"/>
      <c r="F43" s="19"/>
      <c r="G43" s="39"/>
      <c r="H43" s="18"/>
      <c r="I43" s="17">
        <v>0.0968</v>
      </c>
      <c r="J43" s="18"/>
      <c r="K43" s="18" t="s">
        <v>84</v>
      </c>
      <c r="L43" s="18" t="s">
        <v>62</v>
      </c>
      <c r="M43" s="18" t="s">
        <v>62</v>
      </c>
      <c r="N43" s="18"/>
      <c r="O43" s="18" t="s">
        <v>60</v>
      </c>
      <c r="P43" s="18" t="s">
        <v>60</v>
      </c>
      <c r="Q43" s="19" t="s">
        <v>60</v>
      </c>
      <c r="R43" s="15">
        <f t="shared" si="3"/>
        <v>0</v>
      </c>
      <c r="S43" s="15">
        <v>39.0</v>
      </c>
      <c r="T43" s="15">
        <v>2.0</v>
      </c>
      <c r="U43" s="20">
        <f t="shared" si="4"/>
        <v>0.05128205128</v>
      </c>
      <c r="V43" s="15">
        <f t="shared" si="5"/>
        <v>21</v>
      </c>
      <c r="W43" s="15">
        <v>4.0</v>
      </c>
      <c r="X43" s="20">
        <f t="shared" si="6"/>
        <v>0.1025641026</v>
      </c>
      <c r="Y43" s="15">
        <f t="shared" ref="Y43:Z43" si="90">AE43-W43</f>
        <v>0</v>
      </c>
      <c r="Z43" s="20">
        <f t="shared" si="90"/>
        <v>0</v>
      </c>
      <c r="AA43" s="15">
        <v>4.0</v>
      </c>
      <c r="AB43" s="20">
        <f t="shared" si="8"/>
        <v>0.1025641026</v>
      </c>
      <c r="AC43" s="15">
        <f t="shared" ref="AC43:AD43" si="91">AE43-AA43</f>
        <v>0</v>
      </c>
      <c r="AD43" s="20">
        <f t="shared" si="91"/>
        <v>0</v>
      </c>
      <c r="AE43" s="15">
        <v>4.0</v>
      </c>
      <c r="AF43" s="20">
        <f t="shared" si="10"/>
        <v>0.1025641026</v>
      </c>
      <c r="AG43" s="15">
        <v>4.0</v>
      </c>
      <c r="AH43" s="20">
        <f t="shared" si="11"/>
        <v>0.1025641026</v>
      </c>
      <c r="AI43" s="15">
        <v>23.0</v>
      </c>
      <c r="AJ43" s="15">
        <v>0.0</v>
      </c>
      <c r="AK43" s="21">
        <v>0.0</v>
      </c>
      <c r="AL43" s="22">
        <v>0.58974358974359</v>
      </c>
      <c r="AM43" s="15">
        <v>0.0</v>
      </c>
      <c r="AN43" s="15">
        <v>16.0</v>
      </c>
      <c r="AO43" s="23" t="s">
        <v>64</v>
      </c>
      <c r="AP43" s="23" t="s">
        <v>64</v>
      </c>
      <c r="AQ43" s="13" t="s">
        <v>108</v>
      </c>
      <c r="AR43" s="24" t="s">
        <v>130</v>
      </c>
      <c r="AS43" s="24"/>
      <c r="AT43" s="25" t="s">
        <v>228</v>
      </c>
      <c r="AU43" s="26" t="s">
        <v>68</v>
      </c>
      <c r="AV43" s="27"/>
      <c r="AW43" s="24" t="s">
        <v>69</v>
      </c>
      <c r="AX43" s="27"/>
      <c r="AY43" s="29" t="s">
        <v>70</v>
      </c>
      <c r="AZ43" s="62"/>
      <c r="BA43" s="28"/>
      <c r="BB43" s="26" t="s">
        <v>90</v>
      </c>
      <c r="BC43" s="27"/>
      <c r="BD43" s="24"/>
      <c r="BE43" s="27"/>
      <c r="BF43" s="27"/>
      <c r="BG43" s="27"/>
      <c r="BH43" s="27"/>
    </row>
    <row r="44" ht="14.25" customHeight="1">
      <c r="A44" s="63" t="s">
        <v>229</v>
      </c>
      <c r="B44" s="63"/>
      <c r="C44" s="59"/>
      <c r="D44" s="64"/>
      <c r="E44" s="16"/>
      <c r="F44" s="16"/>
      <c r="G44" s="63"/>
      <c r="H44" s="16"/>
      <c r="I44" s="17">
        <v>0.5455</v>
      </c>
      <c r="J44" s="18"/>
      <c r="K44" s="18" t="s">
        <v>84</v>
      </c>
      <c r="L44" s="18" t="s">
        <v>62</v>
      </c>
      <c r="M44" s="18" t="s">
        <v>62</v>
      </c>
      <c r="N44" s="18"/>
      <c r="O44" s="18" t="s">
        <v>62</v>
      </c>
      <c r="P44" s="18" t="s">
        <v>162</v>
      </c>
      <c r="Q44" s="18" t="s">
        <v>60</v>
      </c>
      <c r="R44" s="16">
        <f t="shared" si="3"/>
        <v>0</v>
      </c>
      <c r="S44" s="16">
        <v>20.0</v>
      </c>
      <c r="T44" s="16">
        <v>12.0</v>
      </c>
      <c r="U44" s="65">
        <f t="shared" si="4"/>
        <v>0.6</v>
      </c>
      <c r="V44" s="16">
        <f t="shared" si="5"/>
        <v>8</v>
      </c>
      <c r="W44" s="16">
        <v>12.0</v>
      </c>
      <c r="X44" s="65">
        <f t="shared" si="6"/>
        <v>0.6</v>
      </c>
      <c r="Y44" s="16">
        <f t="shared" ref="Y44:Z44" si="92">AE44-W44</f>
        <v>8</v>
      </c>
      <c r="Z44" s="65">
        <f t="shared" si="92"/>
        <v>0.4</v>
      </c>
      <c r="AA44" s="16">
        <v>20.0</v>
      </c>
      <c r="AB44" s="65">
        <f t="shared" si="8"/>
        <v>1</v>
      </c>
      <c r="AC44" s="16">
        <f t="shared" ref="AC44:AD44" si="93">AE44-AA44</f>
        <v>0</v>
      </c>
      <c r="AD44" s="65">
        <f t="shared" si="93"/>
        <v>0</v>
      </c>
      <c r="AE44" s="16">
        <v>20.0</v>
      </c>
      <c r="AF44" s="65">
        <f t="shared" si="10"/>
        <v>1</v>
      </c>
      <c r="AG44" s="16">
        <v>20.0</v>
      </c>
      <c r="AH44" s="65">
        <f t="shared" si="11"/>
        <v>1</v>
      </c>
      <c r="AI44" s="16">
        <v>20.0</v>
      </c>
      <c r="AJ44" s="16">
        <v>0.0</v>
      </c>
      <c r="AK44" s="66">
        <v>0.0</v>
      </c>
      <c r="AL44" s="67">
        <v>1.0</v>
      </c>
      <c r="AM44" s="16">
        <v>0.0</v>
      </c>
      <c r="AN44" s="16">
        <v>0.0</v>
      </c>
      <c r="AO44" s="68" t="s">
        <v>63</v>
      </c>
      <c r="AP44" s="68" t="s">
        <v>64</v>
      </c>
      <c r="AQ44" s="59" t="s">
        <v>104</v>
      </c>
      <c r="AR44" s="25" t="s">
        <v>66</v>
      </c>
      <c r="AS44" s="25"/>
      <c r="AT44" s="25" t="s">
        <v>230</v>
      </c>
      <c r="AU44" s="26" t="s">
        <v>231</v>
      </c>
      <c r="AV44" s="28"/>
      <c r="AW44" s="25" t="s">
        <v>133</v>
      </c>
      <c r="AX44" s="56">
        <v>46000.0</v>
      </c>
      <c r="AY44" s="29" t="s">
        <v>232</v>
      </c>
      <c r="AZ44" s="24"/>
      <c r="BA44" s="25" t="s">
        <v>233</v>
      </c>
      <c r="BB44" s="26" t="s">
        <v>234</v>
      </c>
      <c r="BC44" s="28"/>
      <c r="BD44" s="25"/>
      <c r="BE44" s="25" t="s">
        <v>235</v>
      </c>
      <c r="BF44" s="25"/>
      <c r="BG44" s="28"/>
      <c r="BH44" s="28"/>
    </row>
    <row r="45" ht="14.25" customHeight="1">
      <c r="A45" s="12" t="e">
        <v>#N/A</v>
      </c>
      <c r="B45" s="39"/>
      <c r="C45" s="13"/>
      <c r="D45" s="14"/>
      <c r="E45" s="15"/>
      <c r="F45" s="19"/>
      <c r="G45" s="39"/>
      <c r="H45" s="18"/>
      <c r="I45" s="17">
        <v>0.3015</v>
      </c>
      <c r="J45" s="18"/>
      <c r="K45" s="18" t="s">
        <v>236</v>
      </c>
      <c r="L45" s="18" t="s">
        <v>61</v>
      </c>
      <c r="M45" s="18" t="s">
        <v>62</v>
      </c>
      <c r="N45" s="18"/>
      <c r="O45" s="18" t="s">
        <v>60</v>
      </c>
      <c r="P45" s="18" t="s">
        <v>60</v>
      </c>
      <c r="Q45" s="19" t="s">
        <v>60</v>
      </c>
      <c r="R45" s="15">
        <f t="shared" si="3"/>
        <v>0</v>
      </c>
      <c r="S45" s="15">
        <v>336.0</v>
      </c>
      <c r="T45" s="15">
        <v>89.0</v>
      </c>
      <c r="U45" s="20">
        <f t="shared" si="4"/>
        <v>0.2648809524</v>
      </c>
      <c r="V45" s="15">
        <f t="shared" si="5"/>
        <v>-49</v>
      </c>
      <c r="W45" s="15">
        <v>98.0</v>
      </c>
      <c r="X45" s="20">
        <f t="shared" si="6"/>
        <v>0.2916666667</v>
      </c>
      <c r="Y45" s="15">
        <f t="shared" ref="Y45:Z45" si="94">AE45-W45</f>
        <v>-19</v>
      </c>
      <c r="Z45" s="20">
        <f t="shared" si="94"/>
        <v>-0.05654761905</v>
      </c>
      <c r="AA45" s="15">
        <v>79.0</v>
      </c>
      <c r="AB45" s="20">
        <f t="shared" si="8"/>
        <v>0.2351190476</v>
      </c>
      <c r="AC45" s="15">
        <f t="shared" ref="AC45:AD45" si="95">AE45-AA45</f>
        <v>0</v>
      </c>
      <c r="AD45" s="20">
        <f t="shared" si="95"/>
        <v>0</v>
      </c>
      <c r="AE45" s="15">
        <v>79.0</v>
      </c>
      <c r="AF45" s="20">
        <f t="shared" si="10"/>
        <v>0.2351190476</v>
      </c>
      <c r="AG45" s="15">
        <v>79.0</v>
      </c>
      <c r="AH45" s="20">
        <f t="shared" si="11"/>
        <v>0.2351190476</v>
      </c>
      <c r="AI45" s="15">
        <v>40.0</v>
      </c>
      <c r="AJ45" s="15">
        <v>46.0</v>
      </c>
      <c r="AK45" s="21">
        <v>0.0</v>
      </c>
      <c r="AL45" s="22">
        <v>0.255952380952381</v>
      </c>
      <c r="AM45" s="15">
        <v>205.0</v>
      </c>
      <c r="AN45" s="15">
        <v>118.0</v>
      </c>
      <c r="AO45" s="23" t="s">
        <v>64</v>
      </c>
      <c r="AP45" s="23" t="s">
        <v>64</v>
      </c>
      <c r="AQ45" s="13" t="s">
        <v>108</v>
      </c>
      <c r="AR45" s="24" t="s">
        <v>130</v>
      </c>
      <c r="AS45" s="24"/>
      <c r="AT45" s="25" t="s">
        <v>237</v>
      </c>
      <c r="AU45" s="26" t="s">
        <v>68</v>
      </c>
      <c r="AV45" s="27"/>
      <c r="AW45" s="24" t="s">
        <v>79</v>
      </c>
      <c r="AX45" s="27"/>
      <c r="AY45" s="29" t="s">
        <v>122</v>
      </c>
      <c r="AZ45" s="32"/>
      <c r="BA45" s="25" t="s">
        <v>238</v>
      </c>
      <c r="BB45" s="26" t="s">
        <v>239</v>
      </c>
      <c r="BC45" s="27"/>
      <c r="BD45" s="24"/>
      <c r="BE45" s="25" t="s">
        <v>238</v>
      </c>
      <c r="BF45" s="27"/>
      <c r="BG45" s="27"/>
      <c r="BH45" s="27"/>
    </row>
    <row r="46" ht="14.25" customHeight="1">
      <c r="A46" s="12" t="s">
        <v>240</v>
      </c>
      <c r="B46" s="12"/>
      <c r="C46" s="13"/>
      <c r="D46" s="14"/>
      <c r="E46" s="15"/>
      <c r="F46" s="15"/>
      <c r="G46" s="12"/>
      <c r="H46" s="16"/>
      <c r="I46" s="17">
        <v>0.1094</v>
      </c>
      <c r="J46" s="18"/>
      <c r="K46" s="18" t="s">
        <v>62</v>
      </c>
      <c r="L46" s="18" t="s">
        <v>62</v>
      </c>
      <c r="M46" s="18" t="s">
        <v>62</v>
      </c>
      <c r="N46" s="18"/>
      <c r="O46" s="18" t="s">
        <v>86</v>
      </c>
      <c r="P46" s="18" t="s">
        <v>162</v>
      </c>
      <c r="Q46" s="18" t="s">
        <v>86</v>
      </c>
      <c r="R46" s="15">
        <f t="shared" si="3"/>
        <v>0</v>
      </c>
      <c r="S46" s="15">
        <v>52.0</v>
      </c>
      <c r="T46" s="15">
        <v>5.0</v>
      </c>
      <c r="U46" s="20">
        <f t="shared" si="4"/>
        <v>0.09615384615</v>
      </c>
      <c r="V46" s="15">
        <f t="shared" si="5"/>
        <v>47</v>
      </c>
      <c r="W46" s="15">
        <v>17.0</v>
      </c>
      <c r="X46" s="20">
        <f t="shared" si="6"/>
        <v>0.3269230769</v>
      </c>
      <c r="Y46" s="15">
        <f t="shared" ref="Y46:Z46" si="96">AE46-W46</f>
        <v>35</v>
      </c>
      <c r="Z46" s="20">
        <f t="shared" si="96"/>
        <v>0.6730769231</v>
      </c>
      <c r="AA46" s="15">
        <v>27.0</v>
      </c>
      <c r="AB46" s="20">
        <f t="shared" si="8"/>
        <v>0.5192307692</v>
      </c>
      <c r="AC46" s="15">
        <f t="shared" ref="AC46:AD46" si="97">AE46-AA46</f>
        <v>25</v>
      </c>
      <c r="AD46" s="20">
        <f t="shared" si="97"/>
        <v>0.4807692308</v>
      </c>
      <c r="AE46" s="15">
        <v>52.0</v>
      </c>
      <c r="AF46" s="20">
        <f t="shared" si="10"/>
        <v>1</v>
      </c>
      <c r="AG46" s="15">
        <v>52.0</v>
      </c>
      <c r="AH46" s="20">
        <f t="shared" si="11"/>
        <v>1</v>
      </c>
      <c r="AI46" s="15">
        <v>52.0</v>
      </c>
      <c r="AJ46" s="15">
        <v>0.0</v>
      </c>
      <c r="AK46" s="21">
        <v>0.0</v>
      </c>
      <c r="AL46" s="22">
        <v>1.0</v>
      </c>
      <c r="AM46" s="15">
        <v>0.0</v>
      </c>
      <c r="AN46" s="15">
        <v>0.0</v>
      </c>
      <c r="AO46" s="23" t="s">
        <v>64</v>
      </c>
      <c r="AP46" s="23" t="s">
        <v>64</v>
      </c>
      <c r="AQ46" s="13" t="s">
        <v>108</v>
      </c>
      <c r="AR46" s="24" t="s">
        <v>66</v>
      </c>
      <c r="AS46" s="24"/>
      <c r="AT46" s="25" t="s">
        <v>241</v>
      </c>
      <c r="AU46" s="26" t="s">
        <v>68</v>
      </c>
      <c r="AV46" s="27"/>
      <c r="AW46" s="24" t="s">
        <v>69</v>
      </c>
      <c r="AX46" s="27"/>
      <c r="AY46" s="29" t="s">
        <v>110</v>
      </c>
      <c r="AZ46" s="30"/>
      <c r="BA46" s="25" t="s">
        <v>242</v>
      </c>
      <c r="BB46" s="26" t="s">
        <v>72</v>
      </c>
      <c r="BC46" s="27"/>
      <c r="BD46" s="24" t="s">
        <v>112</v>
      </c>
      <c r="BE46" s="27"/>
      <c r="BF46" s="27"/>
      <c r="BG46" s="27"/>
      <c r="BH46" s="27"/>
    </row>
    <row r="47" ht="14.25" customHeight="1">
      <c r="A47" s="12" t="s">
        <v>243</v>
      </c>
      <c r="B47" s="12"/>
      <c r="C47" s="59"/>
      <c r="D47" s="14"/>
      <c r="E47" s="15"/>
      <c r="F47" s="16"/>
      <c r="G47" s="12"/>
      <c r="H47" s="16"/>
      <c r="I47" s="41">
        <v>0.2222</v>
      </c>
      <c r="J47" s="19"/>
      <c r="K47" s="18" t="s">
        <v>75</v>
      </c>
      <c r="L47" s="19" t="s">
        <v>62</v>
      </c>
      <c r="M47" s="19" t="s">
        <v>62</v>
      </c>
      <c r="N47" s="19"/>
      <c r="O47" s="19" t="s">
        <v>62</v>
      </c>
      <c r="P47" s="19" t="s">
        <v>62</v>
      </c>
      <c r="Q47" s="19" t="s">
        <v>62</v>
      </c>
      <c r="R47" s="15">
        <f t="shared" si="3"/>
        <v>0</v>
      </c>
      <c r="S47" s="15">
        <v>17.0</v>
      </c>
      <c r="T47" s="15">
        <v>3.0</v>
      </c>
      <c r="U47" s="20">
        <f t="shared" si="4"/>
        <v>0.1764705882</v>
      </c>
      <c r="V47" s="15">
        <f t="shared" si="5"/>
        <v>14</v>
      </c>
      <c r="W47" s="15">
        <v>3.0</v>
      </c>
      <c r="X47" s="20">
        <f t="shared" si="6"/>
        <v>0.1764705882</v>
      </c>
      <c r="Y47" s="15">
        <f t="shared" ref="Y47:Z47" si="98">AE47-W47</f>
        <v>14</v>
      </c>
      <c r="Z47" s="20">
        <f t="shared" si="98"/>
        <v>0.8235294118</v>
      </c>
      <c r="AA47" s="15">
        <v>3.0</v>
      </c>
      <c r="AB47" s="20">
        <f t="shared" si="8"/>
        <v>0.1764705882</v>
      </c>
      <c r="AC47" s="15">
        <f t="shared" ref="AC47:AD47" si="99">AE47-AA47</f>
        <v>14</v>
      </c>
      <c r="AD47" s="20">
        <f t="shared" si="99"/>
        <v>0.8235294118</v>
      </c>
      <c r="AE47" s="15">
        <v>17.0</v>
      </c>
      <c r="AF47" s="20">
        <f t="shared" si="10"/>
        <v>1</v>
      </c>
      <c r="AG47" s="15" t="e">
        <v>#N/A</v>
      </c>
      <c r="AH47" s="20" t="str">
        <f t="shared" si="11"/>
        <v>#N/A</v>
      </c>
      <c r="AI47" s="15">
        <v>17.0</v>
      </c>
      <c r="AJ47" s="15">
        <v>0.0</v>
      </c>
      <c r="AK47" s="21">
        <v>0.0</v>
      </c>
      <c r="AL47" s="22">
        <v>1.0</v>
      </c>
      <c r="AM47" s="15">
        <v>0.0</v>
      </c>
      <c r="AN47" s="15">
        <v>0.0</v>
      </c>
      <c r="AO47" s="23" t="s">
        <v>63</v>
      </c>
      <c r="AP47" s="23" t="s">
        <v>64</v>
      </c>
      <c r="AQ47" s="13" t="s">
        <v>104</v>
      </c>
      <c r="AR47" s="24" t="s">
        <v>66</v>
      </c>
      <c r="AS47" s="24"/>
      <c r="AT47" s="25" t="s">
        <v>244</v>
      </c>
      <c r="AU47" s="26" t="s">
        <v>68</v>
      </c>
      <c r="AV47" s="27"/>
      <c r="AW47" s="24" t="s">
        <v>100</v>
      </c>
      <c r="AX47" s="28"/>
      <c r="AY47" s="29" t="s">
        <v>245</v>
      </c>
      <c r="AZ47" s="24"/>
      <c r="BA47" s="25" t="s">
        <v>246</v>
      </c>
      <c r="BB47" s="26" t="s">
        <v>118</v>
      </c>
      <c r="BC47" s="27"/>
      <c r="BD47" s="34" t="s">
        <v>91</v>
      </c>
      <c r="BE47" s="69">
        <v>46147.0</v>
      </c>
      <c r="BF47" s="28"/>
      <c r="BG47" s="27"/>
      <c r="BH47" s="27"/>
    </row>
    <row r="48" ht="14.25" customHeight="1">
      <c r="A48" s="12" t="s">
        <v>247</v>
      </c>
      <c r="B48" s="12"/>
      <c r="C48" s="13"/>
      <c r="D48" s="14"/>
      <c r="E48" s="15"/>
      <c r="F48" s="19"/>
      <c r="G48" s="39"/>
      <c r="H48" s="70"/>
      <c r="I48" s="17">
        <v>0.993</v>
      </c>
      <c r="J48" s="18" t="s">
        <v>205</v>
      </c>
      <c r="K48" s="18" t="s">
        <v>248</v>
      </c>
      <c r="L48" s="18" t="s">
        <v>61</v>
      </c>
      <c r="M48" s="18" t="s">
        <v>60</v>
      </c>
      <c r="N48" s="18"/>
      <c r="O48" s="18" t="s">
        <v>60</v>
      </c>
      <c r="P48" s="18" t="s">
        <v>60</v>
      </c>
      <c r="Q48" s="19" t="s">
        <v>60</v>
      </c>
      <c r="R48" s="15">
        <f t="shared" si="3"/>
        <v>0</v>
      </c>
      <c r="S48" s="15">
        <v>93.0</v>
      </c>
      <c r="T48" s="15">
        <v>92.0</v>
      </c>
      <c r="U48" s="20">
        <f t="shared" si="4"/>
        <v>0.9892473118</v>
      </c>
      <c r="V48" s="15">
        <f t="shared" si="5"/>
        <v>0</v>
      </c>
      <c r="W48" s="15">
        <v>92.0</v>
      </c>
      <c r="X48" s="20">
        <f t="shared" si="6"/>
        <v>0.9892473118</v>
      </c>
      <c r="Y48" s="15">
        <f t="shared" ref="Y48:Z48" si="100">AE48-W48</f>
        <v>0</v>
      </c>
      <c r="Z48" s="20">
        <f t="shared" si="100"/>
        <v>0</v>
      </c>
      <c r="AA48" s="15">
        <v>92.0</v>
      </c>
      <c r="AB48" s="20">
        <f t="shared" si="8"/>
        <v>0.9892473118</v>
      </c>
      <c r="AC48" s="15">
        <f t="shared" ref="AC48:AD48" si="101">AE48-AA48</f>
        <v>0</v>
      </c>
      <c r="AD48" s="20">
        <f t="shared" si="101"/>
        <v>0</v>
      </c>
      <c r="AE48" s="15">
        <v>92.0</v>
      </c>
      <c r="AF48" s="20">
        <f t="shared" si="10"/>
        <v>0.9892473118</v>
      </c>
      <c r="AG48" s="15">
        <v>92.0</v>
      </c>
      <c r="AH48" s="20">
        <f t="shared" si="11"/>
        <v>0.9892473118</v>
      </c>
      <c r="AI48" s="15">
        <v>92.0</v>
      </c>
      <c r="AJ48" s="15">
        <v>0.0</v>
      </c>
      <c r="AK48" s="21">
        <v>0.0</v>
      </c>
      <c r="AL48" s="22">
        <v>0.989247311827957</v>
      </c>
      <c r="AM48" s="15">
        <v>0.0</v>
      </c>
      <c r="AN48" s="15">
        <v>1.0</v>
      </c>
      <c r="AO48" s="23" t="s">
        <v>64</v>
      </c>
      <c r="AP48" s="23" t="s">
        <v>64</v>
      </c>
      <c r="AQ48" s="13" t="s">
        <v>65</v>
      </c>
      <c r="AR48" s="24" t="s">
        <v>130</v>
      </c>
      <c r="AS48" s="24"/>
      <c r="AT48" s="25" t="s">
        <v>249</v>
      </c>
      <c r="AU48" s="26" t="s">
        <v>118</v>
      </c>
      <c r="AV48" s="36"/>
      <c r="AW48" s="24" t="s">
        <v>133</v>
      </c>
      <c r="AX48" s="56">
        <v>46000.0</v>
      </c>
      <c r="AY48" s="29" t="s">
        <v>250</v>
      </c>
      <c r="AZ48" s="71"/>
      <c r="BA48" s="27"/>
      <c r="BB48" s="26" t="s">
        <v>90</v>
      </c>
      <c r="BC48" s="27"/>
      <c r="BD48" s="24"/>
      <c r="BE48" s="72"/>
      <c r="BF48" s="27"/>
      <c r="BG48" s="27"/>
      <c r="BH48" s="27"/>
    </row>
    <row r="49" ht="85.5" customHeight="1">
      <c r="A49" s="12" t="s">
        <v>251</v>
      </c>
      <c r="B49" s="12"/>
      <c r="C49" s="13"/>
      <c r="D49" s="14"/>
      <c r="E49" s="15"/>
      <c r="F49" s="19"/>
      <c r="G49" s="39"/>
      <c r="H49" s="18"/>
      <c r="I49" s="17">
        <v>1.0</v>
      </c>
      <c r="J49" s="18"/>
      <c r="K49" s="18" t="s">
        <v>151</v>
      </c>
      <c r="L49" s="18" t="s">
        <v>61</v>
      </c>
      <c r="M49" s="18" t="s">
        <v>60</v>
      </c>
      <c r="N49" s="18"/>
      <c r="O49" s="18" t="s">
        <v>60</v>
      </c>
      <c r="P49" s="18" t="s">
        <v>60</v>
      </c>
      <c r="Q49" s="19" t="s">
        <v>60</v>
      </c>
      <c r="R49" s="15">
        <f t="shared" si="3"/>
        <v>0</v>
      </c>
      <c r="S49" s="15">
        <v>17.0</v>
      </c>
      <c r="T49" s="15">
        <v>17.0</v>
      </c>
      <c r="U49" s="20">
        <f t="shared" si="4"/>
        <v>1</v>
      </c>
      <c r="V49" s="15">
        <f t="shared" si="5"/>
        <v>0</v>
      </c>
      <c r="W49" s="15">
        <v>17.0</v>
      </c>
      <c r="X49" s="20">
        <f t="shared" si="6"/>
        <v>1</v>
      </c>
      <c r="Y49" s="15">
        <f t="shared" ref="Y49:Z49" si="102">AE49-W49</f>
        <v>0</v>
      </c>
      <c r="Z49" s="20">
        <f t="shared" si="102"/>
        <v>0</v>
      </c>
      <c r="AA49" s="15">
        <v>17.0</v>
      </c>
      <c r="AB49" s="20">
        <f t="shared" si="8"/>
        <v>1</v>
      </c>
      <c r="AC49" s="15">
        <f t="shared" ref="AC49:AD49" si="103">AE49-AA49</f>
        <v>0</v>
      </c>
      <c r="AD49" s="20">
        <f t="shared" si="103"/>
        <v>0</v>
      </c>
      <c r="AE49" s="15">
        <v>17.0</v>
      </c>
      <c r="AF49" s="20">
        <f t="shared" si="10"/>
        <v>1</v>
      </c>
      <c r="AG49" s="15">
        <v>17.0</v>
      </c>
      <c r="AH49" s="20">
        <f t="shared" si="11"/>
        <v>1</v>
      </c>
      <c r="AI49" s="15">
        <v>17.0</v>
      </c>
      <c r="AJ49" s="15">
        <v>0.0</v>
      </c>
      <c r="AK49" s="21">
        <v>0.0</v>
      </c>
      <c r="AL49" s="22">
        <v>1.0</v>
      </c>
      <c r="AM49" s="15">
        <v>0.0</v>
      </c>
      <c r="AN49" s="15">
        <v>0.0</v>
      </c>
      <c r="AO49" s="23" t="s">
        <v>63</v>
      </c>
      <c r="AP49" s="23" t="s">
        <v>64</v>
      </c>
      <c r="AQ49" s="13" t="s">
        <v>77</v>
      </c>
      <c r="AR49" s="24" t="s">
        <v>66</v>
      </c>
      <c r="AS49" s="24"/>
      <c r="AT49" s="52" t="s">
        <v>252</v>
      </c>
      <c r="AU49" s="26" t="s">
        <v>253</v>
      </c>
      <c r="AV49" s="27"/>
      <c r="AW49" s="24" t="s">
        <v>133</v>
      </c>
      <c r="AX49" s="42">
        <v>46002.0</v>
      </c>
      <c r="AY49" s="29" t="s">
        <v>254</v>
      </c>
      <c r="AZ49" s="32"/>
      <c r="BA49" s="25" t="s">
        <v>255</v>
      </c>
      <c r="BB49" s="26" t="s">
        <v>168</v>
      </c>
      <c r="BC49" s="27"/>
      <c r="BD49" s="24" t="s">
        <v>112</v>
      </c>
      <c r="BE49" s="27"/>
      <c r="BF49" s="27"/>
      <c r="BG49" s="27"/>
      <c r="BH49" s="27"/>
    </row>
    <row r="50" ht="14.25" customHeight="1">
      <c r="A50" s="12" t="s">
        <v>256</v>
      </c>
      <c r="B50" s="12"/>
      <c r="C50" s="13"/>
      <c r="D50" s="14"/>
      <c r="E50" s="15"/>
      <c r="F50" s="15"/>
      <c r="G50" s="12"/>
      <c r="H50" s="16"/>
      <c r="I50" s="17">
        <v>0.0</v>
      </c>
      <c r="J50" s="18"/>
      <c r="K50" s="18"/>
      <c r="L50" s="18" t="s">
        <v>84</v>
      </c>
      <c r="M50" s="18" t="s">
        <v>84</v>
      </c>
      <c r="N50" s="18"/>
      <c r="O50" s="18" t="s">
        <v>84</v>
      </c>
      <c r="P50" s="18" t="s">
        <v>84</v>
      </c>
      <c r="Q50" s="19" t="s">
        <v>84</v>
      </c>
      <c r="R50" s="15">
        <f t="shared" si="3"/>
        <v>0</v>
      </c>
      <c r="S50" s="15">
        <v>26.0</v>
      </c>
      <c r="T50" s="15">
        <v>0.0</v>
      </c>
      <c r="U50" s="20">
        <f t="shared" si="4"/>
        <v>0</v>
      </c>
      <c r="V50" s="15">
        <f t="shared" si="5"/>
        <v>15</v>
      </c>
      <c r="W50" s="15">
        <v>0.0</v>
      </c>
      <c r="X50" s="20">
        <f t="shared" si="6"/>
        <v>0</v>
      </c>
      <c r="Y50" s="15">
        <f t="shared" ref="Y50:Z50" si="104">AE50-W50</f>
        <v>15</v>
      </c>
      <c r="Z50" s="20">
        <f t="shared" si="104"/>
        <v>0.5769230769</v>
      </c>
      <c r="AA50" s="15">
        <v>0.0</v>
      </c>
      <c r="AB50" s="20">
        <f t="shared" si="8"/>
        <v>0</v>
      </c>
      <c r="AC50" s="15">
        <f t="shared" ref="AC50:AD50" si="105">AE50-AA50</f>
        <v>15</v>
      </c>
      <c r="AD50" s="20">
        <f t="shared" si="105"/>
        <v>0.5769230769</v>
      </c>
      <c r="AE50" s="15">
        <v>15.0</v>
      </c>
      <c r="AF50" s="20">
        <f t="shared" si="10"/>
        <v>0.5769230769</v>
      </c>
      <c r="AG50" s="15">
        <v>15.0</v>
      </c>
      <c r="AH50" s="20">
        <f t="shared" si="11"/>
        <v>0.5769230769</v>
      </c>
      <c r="AI50" s="15">
        <v>15.0</v>
      </c>
      <c r="AJ50" s="15">
        <v>0.0</v>
      </c>
      <c r="AK50" s="21">
        <v>0.0</v>
      </c>
      <c r="AL50" s="22">
        <v>0.576923076923077</v>
      </c>
      <c r="AM50" s="15">
        <v>11.0</v>
      </c>
      <c r="AN50" s="15">
        <v>11.0</v>
      </c>
      <c r="AO50" s="23" t="s">
        <v>63</v>
      </c>
      <c r="AP50" s="23" t="s">
        <v>64</v>
      </c>
      <c r="AQ50" s="13" t="s">
        <v>108</v>
      </c>
      <c r="AR50" s="24" t="s">
        <v>66</v>
      </c>
      <c r="AS50" s="24"/>
      <c r="AT50" s="25" t="s">
        <v>257</v>
      </c>
      <c r="AU50" s="26" t="s">
        <v>68</v>
      </c>
      <c r="AV50" s="27"/>
      <c r="AW50" s="24" t="s">
        <v>69</v>
      </c>
      <c r="AX50" s="28"/>
      <c r="AY50" s="29" t="s">
        <v>89</v>
      </c>
      <c r="AZ50" s="33"/>
      <c r="BA50" s="27"/>
      <c r="BB50" s="26" t="s">
        <v>90</v>
      </c>
      <c r="BC50" s="27"/>
      <c r="BD50" s="34" t="s">
        <v>91</v>
      </c>
      <c r="BE50" s="35"/>
      <c r="BF50" s="27"/>
      <c r="BG50" s="27"/>
      <c r="BH50" s="27"/>
    </row>
    <row r="51" ht="14.25" customHeight="1">
      <c r="A51" s="73" t="s">
        <v>258</v>
      </c>
      <c r="B51" s="73"/>
      <c r="C51" s="74"/>
      <c r="D51" s="75"/>
      <c r="E51" s="76"/>
      <c r="F51" s="77"/>
      <c r="G51" s="73"/>
      <c r="H51" s="77"/>
      <c r="I51" s="78">
        <v>0.3144</v>
      </c>
      <c r="J51" s="79"/>
      <c r="K51" s="79" t="s">
        <v>98</v>
      </c>
      <c r="L51" s="79" t="s">
        <v>62</v>
      </c>
      <c r="M51" s="79" t="s">
        <v>62</v>
      </c>
      <c r="N51" s="79" t="s">
        <v>62</v>
      </c>
      <c r="O51" s="79" t="s">
        <v>129</v>
      </c>
      <c r="P51" s="79" t="s">
        <v>129</v>
      </c>
      <c r="Q51" s="80" t="s">
        <v>60</v>
      </c>
      <c r="R51" s="76">
        <f t="shared" si="3"/>
        <v>0</v>
      </c>
      <c r="S51" s="76">
        <v>425.0</v>
      </c>
      <c r="T51" s="76">
        <v>88.0</v>
      </c>
      <c r="U51" s="20">
        <f t="shared" si="4"/>
        <v>0.2070588235</v>
      </c>
      <c r="V51" s="15">
        <f t="shared" si="5"/>
        <v>128</v>
      </c>
      <c r="W51" s="76">
        <v>6.0</v>
      </c>
      <c r="X51" s="81">
        <f t="shared" si="6"/>
        <v>0.01411764706</v>
      </c>
      <c r="Y51" s="76">
        <f t="shared" ref="Y51:Z51" si="106">AE51-W51</f>
        <v>212</v>
      </c>
      <c r="Z51" s="81">
        <f t="shared" si="106"/>
        <v>0.4988235294</v>
      </c>
      <c r="AA51" s="76">
        <v>218.0</v>
      </c>
      <c r="AB51" s="81">
        <f t="shared" si="8"/>
        <v>0.5129411765</v>
      </c>
      <c r="AC51" s="76">
        <f t="shared" ref="AC51:AD51" si="107">AE51-AA51</f>
        <v>0</v>
      </c>
      <c r="AD51" s="81">
        <f t="shared" si="107"/>
        <v>0</v>
      </c>
      <c r="AE51" s="76">
        <v>218.0</v>
      </c>
      <c r="AF51" s="81">
        <f t="shared" si="10"/>
        <v>0.5129411765</v>
      </c>
      <c r="AG51" s="76">
        <v>218.0</v>
      </c>
      <c r="AH51" s="81">
        <f t="shared" si="11"/>
        <v>0.5129411765</v>
      </c>
      <c r="AI51" s="76">
        <v>216.0</v>
      </c>
      <c r="AJ51" s="76">
        <v>2.0</v>
      </c>
      <c r="AK51" s="82">
        <v>0.0</v>
      </c>
      <c r="AL51" s="83">
        <v>0.512941176470588</v>
      </c>
      <c r="AM51" s="76">
        <v>208.0</v>
      </c>
      <c r="AN51" s="76">
        <v>207.0</v>
      </c>
      <c r="AO51" s="84" t="s">
        <v>64</v>
      </c>
      <c r="AP51" s="84" t="s">
        <v>64</v>
      </c>
      <c r="AQ51" s="85" t="s">
        <v>65</v>
      </c>
      <c r="AR51" s="86" t="s">
        <v>66</v>
      </c>
      <c r="AS51" s="86"/>
      <c r="AT51" s="87" t="s">
        <v>259</v>
      </c>
      <c r="AU51" s="88" t="s">
        <v>68</v>
      </c>
      <c r="AV51" s="89"/>
      <c r="AW51" s="86" t="s">
        <v>69</v>
      </c>
      <c r="AX51" s="90"/>
      <c r="AY51" s="91" t="s">
        <v>260</v>
      </c>
      <c r="AZ51" s="24"/>
      <c r="BA51" s="92" t="s">
        <v>261</v>
      </c>
      <c r="BB51" s="88" t="s">
        <v>262</v>
      </c>
      <c r="BC51" s="93"/>
      <c r="BD51" s="94" t="s">
        <v>91</v>
      </c>
      <c r="BE51" s="94"/>
      <c r="BF51" s="90"/>
      <c r="BG51" s="93"/>
      <c r="BH51" s="93"/>
    </row>
    <row r="52" ht="14.25" customHeight="1">
      <c r="A52" s="12" t="s">
        <v>263</v>
      </c>
      <c r="B52" s="12"/>
      <c r="C52" s="13"/>
      <c r="D52" s="14"/>
      <c r="E52" s="15"/>
      <c r="F52" s="15"/>
      <c r="G52" s="12"/>
      <c r="H52" s="16"/>
      <c r="I52" s="17">
        <v>0.0214</v>
      </c>
      <c r="J52" s="18"/>
      <c r="K52" s="18" t="s">
        <v>98</v>
      </c>
      <c r="L52" s="18" t="s">
        <v>62</v>
      </c>
      <c r="M52" s="18" t="s">
        <v>264</v>
      </c>
      <c r="N52" s="18"/>
      <c r="O52" s="18" t="s">
        <v>62</v>
      </c>
      <c r="P52" s="18" t="s">
        <v>86</v>
      </c>
      <c r="Q52" s="19" t="s">
        <v>60</v>
      </c>
      <c r="R52" s="15">
        <f t="shared" si="3"/>
        <v>0</v>
      </c>
      <c r="S52" s="15">
        <v>106.0</v>
      </c>
      <c r="T52" s="15">
        <v>0.0</v>
      </c>
      <c r="U52" s="20">
        <f t="shared" si="4"/>
        <v>0</v>
      </c>
      <c r="V52" s="15">
        <f t="shared" si="5"/>
        <v>18</v>
      </c>
      <c r="W52" s="15">
        <v>5.0</v>
      </c>
      <c r="X52" s="20">
        <f t="shared" si="6"/>
        <v>0.04716981132</v>
      </c>
      <c r="Y52" s="15">
        <f t="shared" ref="Y52:Z52" si="108">AE52-W52</f>
        <v>13</v>
      </c>
      <c r="Z52" s="20">
        <f t="shared" si="108"/>
        <v>0.1226415094</v>
      </c>
      <c r="AA52" s="15">
        <v>18.0</v>
      </c>
      <c r="AB52" s="20">
        <f t="shared" si="8"/>
        <v>0.1698113208</v>
      </c>
      <c r="AC52" s="15">
        <f t="shared" ref="AC52:AD52" si="109">AE52-AA52</f>
        <v>0</v>
      </c>
      <c r="AD52" s="20">
        <f t="shared" si="109"/>
        <v>0</v>
      </c>
      <c r="AE52" s="15">
        <v>18.0</v>
      </c>
      <c r="AF52" s="20">
        <f t="shared" si="10"/>
        <v>0.1698113208</v>
      </c>
      <c r="AG52" s="15">
        <v>18.0</v>
      </c>
      <c r="AH52" s="20">
        <f t="shared" si="11"/>
        <v>0.1698113208</v>
      </c>
      <c r="AI52" s="15">
        <v>18.0</v>
      </c>
      <c r="AJ52" s="15">
        <v>0.0</v>
      </c>
      <c r="AK52" s="21">
        <v>0.0</v>
      </c>
      <c r="AL52" s="22">
        <v>0.169811320754717</v>
      </c>
      <c r="AM52" s="15">
        <v>88.0</v>
      </c>
      <c r="AN52" s="15">
        <v>73.0</v>
      </c>
      <c r="AO52" s="23" t="s">
        <v>63</v>
      </c>
      <c r="AP52" s="23" t="s">
        <v>64</v>
      </c>
      <c r="AQ52" s="13" t="s">
        <v>65</v>
      </c>
      <c r="AR52" s="24" t="s">
        <v>66</v>
      </c>
      <c r="AS52" s="24"/>
      <c r="AT52" s="25" t="s">
        <v>265</v>
      </c>
      <c r="AU52" s="26" t="s">
        <v>68</v>
      </c>
      <c r="AV52" s="27"/>
      <c r="AW52" s="24" t="s">
        <v>100</v>
      </c>
      <c r="AX52" s="28"/>
      <c r="AY52" s="29" t="s">
        <v>89</v>
      </c>
      <c r="AZ52" s="33"/>
      <c r="BA52" s="27"/>
      <c r="BB52" s="26" t="s">
        <v>90</v>
      </c>
      <c r="BC52" s="27"/>
      <c r="BD52" s="34" t="s">
        <v>91</v>
      </c>
      <c r="BE52" s="35"/>
      <c r="BF52" s="27"/>
      <c r="BG52" s="27"/>
      <c r="BH52" s="27"/>
    </row>
    <row r="53" ht="14.25" customHeight="1">
      <c r="A53" s="12" t="s">
        <v>266</v>
      </c>
      <c r="B53" s="12"/>
      <c r="C53" s="13"/>
      <c r="D53" s="14"/>
      <c r="E53" s="15"/>
      <c r="F53" s="15"/>
      <c r="G53" s="12"/>
      <c r="H53" s="16"/>
      <c r="I53" s="17">
        <v>0.0</v>
      </c>
      <c r="J53" s="18"/>
      <c r="K53" s="18"/>
      <c r="L53" s="18" t="s">
        <v>84</v>
      </c>
      <c r="M53" s="18" t="s">
        <v>84</v>
      </c>
      <c r="N53" s="18"/>
      <c r="O53" s="18" t="s">
        <v>84</v>
      </c>
      <c r="P53" s="18" t="s">
        <v>84</v>
      </c>
      <c r="Q53" s="19" t="s">
        <v>84</v>
      </c>
      <c r="R53" s="15">
        <f t="shared" si="3"/>
        <v>0</v>
      </c>
      <c r="S53" s="15">
        <v>37.0</v>
      </c>
      <c r="T53" s="15">
        <v>0.0</v>
      </c>
      <c r="U53" s="20">
        <f t="shared" si="4"/>
        <v>0</v>
      </c>
      <c r="V53" s="15">
        <f t="shared" si="5"/>
        <v>23</v>
      </c>
      <c r="W53" s="15">
        <v>0.0</v>
      </c>
      <c r="X53" s="20">
        <f t="shared" si="6"/>
        <v>0</v>
      </c>
      <c r="Y53" s="15">
        <f t="shared" ref="Y53:Z53" si="110">AE53-W53</f>
        <v>23</v>
      </c>
      <c r="Z53" s="20">
        <f t="shared" si="110"/>
        <v>0.6216216216</v>
      </c>
      <c r="AA53" s="15">
        <v>0.0</v>
      </c>
      <c r="AB53" s="20">
        <f t="shared" si="8"/>
        <v>0</v>
      </c>
      <c r="AC53" s="15">
        <f t="shared" ref="AC53:AD53" si="111">AE53-AA53</f>
        <v>23</v>
      </c>
      <c r="AD53" s="20">
        <f t="shared" si="111"/>
        <v>0.6216216216</v>
      </c>
      <c r="AE53" s="15">
        <v>23.0</v>
      </c>
      <c r="AF53" s="20">
        <f t="shared" si="10"/>
        <v>0.6216216216</v>
      </c>
      <c r="AG53" s="15">
        <v>23.0</v>
      </c>
      <c r="AH53" s="20">
        <f t="shared" si="11"/>
        <v>0.6216216216</v>
      </c>
      <c r="AI53" s="15">
        <v>23.0</v>
      </c>
      <c r="AJ53" s="15">
        <v>0.0</v>
      </c>
      <c r="AK53" s="21">
        <v>0.0</v>
      </c>
      <c r="AL53" s="22">
        <v>0.621621621621622</v>
      </c>
      <c r="AM53" s="15">
        <v>14.0</v>
      </c>
      <c r="AN53" s="15">
        <v>14.0</v>
      </c>
      <c r="AO53" s="23" t="s">
        <v>63</v>
      </c>
      <c r="AP53" s="23" t="s">
        <v>64</v>
      </c>
      <c r="AQ53" s="13" t="s">
        <v>77</v>
      </c>
      <c r="AR53" s="24" t="s">
        <v>66</v>
      </c>
      <c r="AS53" s="24"/>
      <c r="AT53" s="95">
        <v>45972.0</v>
      </c>
      <c r="AU53" s="26" t="s">
        <v>106</v>
      </c>
      <c r="AV53" s="27"/>
      <c r="AW53" s="24" t="s">
        <v>69</v>
      </c>
      <c r="AX53" s="27"/>
      <c r="AY53" s="29" t="s">
        <v>89</v>
      </c>
      <c r="AZ53" s="37"/>
      <c r="BA53" s="27"/>
      <c r="BB53" s="26" t="s">
        <v>90</v>
      </c>
      <c r="BC53" s="27"/>
      <c r="BD53" s="34" t="s">
        <v>91</v>
      </c>
      <c r="BE53" s="38"/>
      <c r="BF53" s="27"/>
      <c r="BG53" s="27"/>
      <c r="BH53" s="27"/>
    </row>
    <row r="54" ht="14.25" customHeight="1">
      <c r="A54" s="12" t="s">
        <v>267</v>
      </c>
      <c r="B54" s="12"/>
      <c r="C54" s="13"/>
      <c r="D54" s="14"/>
      <c r="E54" s="15"/>
      <c r="F54" s="15"/>
      <c r="G54" s="12"/>
      <c r="H54" s="16"/>
      <c r="I54" s="17">
        <v>0.1034</v>
      </c>
      <c r="J54" s="18"/>
      <c r="K54" s="18" t="s">
        <v>62</v>
      </c>
      <c r="L54" s="18" t="s">
        <v>62</v>
      </c>
      <c r="M54" s="18" t="s">
        <v>62</v>
      </c>
      <c r="N54" s="18"/>
      <c r="O54" s="18" t="s">
        <v>62</v>
      </c>
      <c r="P54" s="18" t="s">
        <v>62</v>
      </c>
      <c r="Q54" s="18" t="s">
        <v>86</v>
      </c>
      <c r="R54" s="15">
        <f t="shared" si="3"/>
        <v>0</v>
      </c>
      <c r="S54" s="15">
        <v>25.0</v>
      </c>
      <c r="T54" s="15">
        <v>3.0</v>
      </c>
      <c r="U54" s="20">
        <f t="shared" si="4"/>
        <v>0.12</v>
      </c>
      <c r="V54" s="15">
        <f t="shared" si="5"/>
        <v>15</v>
      </c>
      <c r="W54" s="15">
        <v>7.0</v>
      </c>
      <c r="X54" s="20">
        <f t="shared" si="6"/>
        <v>0.28</v>
      </c>
      <c r="Y54" s="15">
        <f t="shared" ref="Y54:Z54" si="112">AE54-W54</f>
        <v>11</v>
      </c>
      <c r="Z54" s="20">
        <f t="shared" si="112"/>
        <v>0.44</v>
      </c>
      <c r="AA54" s="15">
        <v>7.0</v>
      </c>
      <c r="AB54" s="20">
        <f t="shared" si="8"/>
        <v>0.28</v>
      </c>
      <c r="AC54" s="15">
        <f t="shared" ref="AC54:AD54" si="113">AE54-AA54</f>
        <v>11</v>
      </c>
      <c r="AD54" s="20">
        <f t="shared" si="113"/>
        <v>0.44</v>
      </c>
      <c r="AE54" s="15">
        <v>18.0</v>
      </c>
      <c r="AF54" s="20">
        <f t="shared" si="10"/>
        <v>0.72</v>
      </c>
      <c r="AG54" s="15">
        <v>18.0</v>
      </c>
      <c r="AH54" s="20">
        <f t="shared" si="11"/>
        <v>0.72</v>
      </c>
      <c r="AI54" s="15">
        <v>18.0</v>
      </c>
      <c r="AJ54" s="15">
        <v>0.0</v>
      </c>
      <c r="AK54" s="21">
        <v>0.0</v>
      </c>
      <c r="AL54" s="22">
        <v>0.72</v>
      </c>
      <c r="AM54" s="15">
        <v>7.0</v>
      </c>
      <c r="AN54" s="15">
        <v>7.0</v>
      </c>
      <c r="AO54" s="23" t="s">
        <v>63</v>
      </c>
      <c r="AP54" s="23" t="s">
        <v>64</v>
      </c>
      <c r="AQ54" s="13" t="s">
        <v>65</v>
      </c>
      <c r="AR54" s="24" t="s">
        <v>66</v>
      </c>
      <c r="AS54" s="24"/>
      <c r="AT54" s="25" t="s">
        <v>268</v>
      </c>
      <c r="AU54" s="26" t="s">
        <v>68</v>
      </c>
      <c r="AV54" s="36"/>
      <c r="AW54" s="24" t="s">
        <v>69</v>
      </c>
      <c r="AX54" s="28"/>
      <c r="AY54" s="29" t="s">
        <v>89</v>
      </c>
      <c r="AZ54" s="33"/>
      <c r="BA54" s="27"/>
      <c r="BB54" s="26" t="s">
        <v>90</v>
      </c>
      <c r="BC54" s="27"/>
      <c r="BD54" s="34" t="s">
        <v>91</v>
      </c>
      <c r="BE54" s="35"/>
      <c r="BF54" s="27"/>
      <c r="BG54" s="27"/>
      <c r="BH54" s="27"/>
    </row>
    <row r="55" ht="14.25" customHeight="1">
      <c r="A55" s="96" t="s">
        <v>269</v>
      </c>
      <c r="B55" s="96"/>
      <c r="C55" s="97"/>
      <c r="D55" s="98"/>
      <c r="E55" s="99"/>
      <c r="F55" s="99"/>
      <c r="G55" s="96"/>
      <c r="H55" s="100"/>
      <c r="I55" s="101">
        <v>0.7679</v>
      </c>
      <c r="J55" s="102" t="s">
        <v>114</v>
      </c>
      <c r="K55" s="102" t="s">
        <v>270</v>
      </c>
      <c r="L55" s="102" t="s">
        <v>60</v>
      </c>
      <c r="M55" s="102" t="s">
        <v>60</v>
      </c>
      <c r="N55" s="102"/>
      <c r="O55" s="102" t="s">
        <v>60</v>
      </c>
      <c r="P55" s="102" t="s">
        <v>60</v>
      </c>
      <c r="Q55" s="103" t="s">
        <v>60</v>
      </c>
      <c r="R55" s="99">
        <f t="shared" si="3"/>
        <v>0</v>
      </c>
      <c r="S55" s="99">
        <v>42.0</v>
      </c>
      <c r="T55" s="99">
        <v>29.0</v>
      </c>
      <c r="U55" s="104">
        <f t="shared" si="4"/>
        <v>0.6904761905</v>
      </c>
      <c r="V55" s="99">
        <f t="shared" si="5"/>
        <v>0</v>
      </c>
      <c r="W55" s="99">
        <v>29.0</v>
      </c>
      <c r="X55" s="104">
        <f t="shared" si="6"/>
        <v>0.6904761905</v>
      </c>
      <c r="Y55" s="99">
        <f t="shared" ref="Y55:Z55" si="114">AE55-W55</f>
        <v>0</v>
      </c>
      <c r="Z55" s="104">
        <f t="shared" si="114"/>
        <v>0</v>
      </c>
      <c r="AA55" s="99">
        <v>29.0</v>
      </c>
      <c r="AB55" s="104">
        <f t="shared" si="8"/>
        <v>0.6904761905</v>
      </c>
      <c r="AC55" s="99">
        <f t="shared" ref="AC55:AD55" si="115">AE55-AA55</f>
        <v>0</v>
      </c>
      <c r="AD55" s="104">
        <f t="shared" si="115"/>
        <v>0</v>
      </c>
      <c r="AE55" s="99">
        <v>29.0</v>
      </c>
      <c r="AF55" s="104">
        <f t="shared" si="10"/>
        <v>0.6904761905</v>
      </c>
      <c r="AG55" s="99">
        <v>29.0</v>
      </c>
      <c r="AH55" s="104">
        <f t="shared" si="11"/>
        <v>0.6904761905</v>
      </c>
      <c r="AI55" s="99">
        <v>29.0</v>
      </c>
      <c r="AJ55" s="99">
        <v>0.0</v>
      </c>
      <c r="AK55" s="105">
        <v>0.0</v>
      </c>
      <c r="AL55" s="106">
        <v>0.69047619047619</v>
      </c>
      <c r="AM55" s="99">
        <v>13.0</v>
      </c>
      <c r="AN55" s="99">
        <v>13.0</v>
      </c>
      <c r="AO55" s="107" t="s">
        <v>64</v>
      </c>
      <c r="AP55" s="107" t="s">
        <v>64</v>
      </c>
      <c r="AQ55" s="97" t="s">
        <v>65</v>
      </c>
      <c r="AR55" s="58" t="s">
        <v>66</v>
      </c>
      <c r="AS55" s="58"/>
      <c r="AT55" s="108" t="s">
        <v>271</v>
      </c>
      <c r="AU55" s="109" t="s">
        <v>118</v>
      </c>
      <c r="AV55" s="110"/>
      <c r="AW55" s="58" t="s">
        <v>133</v>
      </c>
      <c r="AX55" s="111">
        <v>46000.0</v>
      </c>
      <c r="AY55" s="37" t="s">
        <v>254</v>
      </c>
      <c r="AZ55" s="32"/>
      <c r="BA55" s="58" t="s">
        <v>272</v>
      </c>
      <c r="BB55" s="109" t="s">
        <v>90</v>
      </c>
      <c r="BC55" s="110"/>
      <c r="BD55" s="58"/>
      <c r="BE55" s="58"/>
      <c r="BF55" s="110"/>
      <c r="BG55" s="110"/>
      <c r="BH55" s="110"/>
    </row>
    <row r="56" ht="14.25" customHeight="1">
      <c r="A56" s="12" t="s">
        <v>273</v>
      </c>
      <c r="B56" s="12"/>
      <c r="C56" s="13"/>
      <c r="D56" s="14"/>
      <c r="E56" s="15"/>
      <c r="F56" s="15"/>
      <c r="G56" s="12"/>
      <c r="H56" s="16"/>
      <c r="I56" s="17">
        <v>0.0236</v>
      </c>
      <c r="J56" s="18"/>
      <c r="K56" s="18" t="s">
        <v>84</v>
      </c>
      <c r="L56" s="18" t="s">
        <v>62</v>
      </c>
      <c r="M56" s="18" t="s">
        <v>202</v>
      </c>
      <c r="N56" s="18"/>
      <c r="O56" s="18" t="s">
        <v>62</v>
      </c>
      <c r="P56" s="18" t="s">
        <v>62</v>
      </c>
      <c r="Q56" s="18" t="s">
        <v>62</v>
      </c>
      <c r="R56" s="15">
        <f t="shared" si="3"/>
        <v>0</v>
      </c>
      <c r="S56" s="15">
        <v>58.0</v>
      </c>
      <c r="T56" s="15">
        <v>3.0</v>
      </c>
      <c r="U56" s="20">
        <f t="shared" si="4"/>
        <v>0.05172413793</v>
      </c>
      <c r="V56" s="15">
        <f t="shared" si="5"/>
        <v>24</v>
      </c>
      <c r="W56" s="15">
        <v>3.0</v>
      </c>
      <c r="X56" s="20">
        <f t="shared" si="6"/>
        <v>0.05172413793</v>
      </c>
      <c r="Y56" s="15">
        <f t="shared" ref="Y56:Z56" si="116">AE56-W56</f>
        <v>24</v>
      </c>
      <c r="Z56" s="20">
        <f t="shared" si="116"/>
        <v>0.4137931034</v>
      </c>
      <c r="AA56" s="15">
        <v>3.0</v>
      </c>
      <c r="AB56" s="20">
        <f t="shared" si="8"/>
        <v>0.05172413793</v>
      </c>
      <c r="AC56" s="15">
        <f t="shared" ref="AC56:AD56" si="117">AE56-AA56</f>
        <v>24</v>
      </c>
      <c r="AD56" s="20">
        <f t="shared" si="117"/>
        <v>0.4137931034</v>
      </c>
      <c r="AE56" s="15">
        <v>27.0</v>
      </c>
      <c r="AF56" s="20">
        <f t="shared" si="10"/>
        <v>0.4655172414</v>
      </c>
      <c r="AG56" s="15">
        <v>27.0</v>
      </c>
      <c r="AH56" s="20">
        <f t="shared" si="11"/>
        <v>0.4655172414</v>
      </c>
      <c r="AI56" s="15">
        <v>27.0</v>
      </c>
      <c r="AJ56" s="15">
        <v>0.0</v>
      </c>
      <c r="AK56" s="21">
        <v>0.0</v>
      </c>
      <c r="AL56" s="22">
        <v>0.46551724137931</v>
      </c>
      <c r="AM56" s="15">
        <v>31.0</v>
      </c>
      <c r="AN56" s="15">
        <v>31.0</v>
      </c>
      <c r="AO56" s="23" t="s">
        <v>64</v>
      </c>
      <c r="AP56" s="23" t="s">
        <v>64</v>
      </c>
      <c r="AQ56" s="13" t="s">
        <v>77</v>
      </c>
      <c r="AR56" s="24" t="s">
        <v>66</v>
      </c>
      <c r="AS56" s="24"/>
      <c r="AT56" s="25" t="s">
        <v>274</v>
      </c>
      <c r="AU56" s="26" t="s">
        <v>68</v>
      </c>
      <c r="AV56" s="27"/>
      <c r="AW56" s="24" t="s">
        <v>69</v>
      </c>
      <c r="AX56" s="28"/>
      <c r="AY56" s="29" t="s">
        <v>89</v>
      </c>
      <c r="AZ56" s="33"/>
      <c r="BA56" s="27"/>
      <c r="BB56" s="26" t="s">
        <v>90</v>
      </c>
      <c r="BC56" s="27"/>
      <c r="BD56" s="34" t="s">
        <v>91</v>
      </c>
      <c r="BE56" s="35"/>
      <c r="BF56" s="27"/>
      <c r="BG56" s="27"/>
      <c r="BH56" s="27"/>
    </row>
    <row r="57" ht="14.25" customHeight="1">
      <c r="A57" s="12" t="s">
        <v>275</v>
      </c>
      <c r="B57" s="12"/>
      <c r="C57" s="13"/>
      <c r="D57" s="14"/>
      <c r="E57" s="15"/>
      <c r="F57" s="15"/>
      <c r="G57" s="12"/>
      <c r="H57" s="16"/>
      <c r="I57" s="17">
        <v>0.027</v>
      </c>
      <c r="J57" s="18"/>
      <c r="K57" s="18" t="s">
        <v>84</v>
      </c>
      <c r="L57" s="18" t="s">
        <v>62</v>
      </c>
      <c r="M57" s="18" t="s">
        <v>62</v>
      </c>
      <c r="N57" s="18"/>
      <c r="O57" s="18" t="s">
        <v>84</v>
      </c>
      <c r="P57" s="18" t="s">
        <v>84</v>
      </c>
      <c r="Q57" s="18" t="s">
        <v>86</v>
      </c>
      <c r="R57" s="15">
        <f t="shared" si="3"/>
        <v>0</v>
      </c>
      <c r="S57" s="15">
        <v>140.0</v>
      </c>
      <c r="T57" s="15">
        <v>5.0</v>
      </c>
      <c r="U57" s="20">
        <f t="shared" si="4"/>
        <v>0.03571428571</v>
      </c>
      <c r="V57" s="15">
        <f t="shared" si="5"/>
        <v>24</v>
      </c>
      <c r="W57" s="15">
        <v>5.0</v>
      </c>
      <c r="X57" s="20">
        <f t="shared" si="6"/>
        <v>0.03571428571</v>
      </c>
      <c r="Y57" s="15">
        <f t="shared" ref="Y57:Z57" si="118">AE57-W57</f>
        <v>29</v>
      </c>
      <c r="Z57" s="20">
        <f t="shared" si="118"/>
        <v>0.2071428571</v>
      </c>
      <c r="AA57" s="15">
        <v>5.0</v>
      </c>
      <c r="AB57" s="20">
        <f t="shared" si="8"/>
        <v>0.03571428571</v>
      </c>
      <c r="AC57" s="15">
        <f t="shared" ref="AC57:AD57" si="119">AE57-AA57</f>
        <v>29</v>
      </c>
      <c r="AD57" s="20">
        <f t="shared" si="119"/>
        <v>0.2071428571</v>
      </c>
      <c r="AE57" s="15">
        <v>34.0</v>
      </c>
      <c r="AF57" s="20">
        <f t="shared" si="10"/>
        <v>0.2428571429</v>
      </c>
      <c r="AG57" s="15">
        <v>34.0</v>
      </c>
      <c r="AH57" s="20">
        <f t="shared" si="11"/>
        <v>0.2428571429</v>
      </c>
      <c r="AI57" s="15">
        <v>29.0</v>
      </c>
      <c r="AJ57" s="15">
        <v>5.0</v>
      </c>
      <c r="AK57" s="21">
        <v>0.0</v>
      </c>
      <c r="AL57" s="22">
        <v>0.242857142857143</v>
      </c>
      <c r="AM57" s="15">
        <v>109.0</v>
      </c>
      <c r="AN57" s="15">
        <v>106.0</v>
      </c>
      <c r="AO57" s="23" t="s">
        <v>64</v>
      </c>
      <c r="AP57" s="23" t="s">
        <v>64</v>
      </c>
      <c r="AQ57" s="13" t="s">
        <v>108</v>
      </c>
      <c r="AR57" s="24" t="s">
        <v>66</v>
      </c>
      <c r="AS57" s="24"/>
      <c r="AT57" s="112" t="s">
        <v>276</v>
      </c>
      <c r="AU57" s="26" t="s">
        <v>68</v>
      </c>
      <c r="AV57" s="27"/>
      <c r="AW57" s="24" t="s">
        <v>69</v>
      </c>
      <c r="AX57" s="28"/>
      <c r="AY57" s="29" t="s">
        <v>89</v>
      </c>
      <c r="AZ57" s="37"/>
      <c r="BA57" s="27"/>
      <c r="BB57" s="26" t="s">
        <v>90</v>
      </c>
      <c r="BC57" s="27"/>
      <c r="BD57" s="34" t="s">
        <v>91</v>
      </c>
      <c r="BE57" s="38"/>
      <c r="BF57" s="27"/>
      <c r="BG57" s="27"/>
      <c r="BH57" s="27"/>
    </row>
    <row r="58" ht="14.25" customHeight="1">
      <c r="A58" s="12" t="s">
        <v>277</v>
      </c>
      <c r="B58" s="12"/>
      <c r="C58" s="13"/>
      <c r="D58" s="14"/>
      <c r="E58" s="15"/>
      <c r="F58" s="15"/>
      <c r="G58" s="12"/>
      <c r="H58" s="16"/>
      <c r="I58" s="17">
        <v>0.0541</v>
      </c>
      <c r="J58" s="18"/>
      <c r="K58" s="18" t="s">
        <v>84</v>
      </c>
      <c r="L58" s="18" t="s">
        <v>85</v>
      </c>
      <c r="M58" s="18" t="s">
        <v>62</v>
      </c>
      <c r="N58" s="18"/>
      <c r="O58" s="18" t="s">
        <v>60</v>
      </c>
      <c r="P58" s="18" t="s">
        <v>60</v>
      </c>
      <c r="Q58" s="19" t="s">
        <v>60</v>
      </c>
      <c r="R58" s="15">
        <f t="shared" si="3"/>
        <v>0</v>
      </c>
      <c r="S58" s="15">
        <v>31.0</v>
      </c>
      <c r="T58" s="15">
        <v>2.0</v>
      </c>
      <c r="U58" s="20">
        <f t="shared" si="4"/>
        <v>0.06451612903</v>
      </c>
      <c r="V58" s="15">
        <f t="shared" si="5"/>
        <v>24</v>
      </c>
      <c r="W58" s="15">
        <v>10.0</v>
      </c>
      <c r="X58" s="20">
        <f t="shared" si="6"/>
        <v>0.3225806452</v>
      </c>
      <c r="Y58" s="15">
        <f t="shared" ref="Y58:Z58" si="120">AE58-W58</f>
        <v>16</v>
      </c>
      <c r="Z58" s="20">
        <f t="shared" si="120"/>
        <v>0.5161290323</v>
      </c>
      <c r="AA58" s="15">
        <v>23.0</v>
      </c>
      <c r="AB58" s="20">
        <f t="shared" si="8"/>
        <v>0.7419354839</v>
      </c>
      <c r="AC58" s="15">
        <f t="shared" ref="AC58:AD58" si="121">AE58-AA58</f>
        <v>3</v>
      </c>
      <c r="AD58" s="20">
        <f t="shared" si="121"/>
        <v>0.09677419355</v>
      </c>
      <c r="AE58" s="15">
        <v>26.0</v>
      </c>
      <c r="AF58" s="20">
        <f t="shared" si="10"/>
        <v>0.8387096774</v>
      </c>
      <c r="AG58" s="15">
        <v>26.0</v>
      </c>
      <c r="AH58" s="20">
        <f t="shared" si="11"/>
        <v>0.8387096774</v>
      </c>
      <c r="AI58" s="15">
        <v>26.0</v>
      </c>
      <c r="AJ58" s="15">
        <v>0.0</v>
      </c>
      <c r="AK58" s="21">
        <v>0.0</v>
      </c>
      <c r="AL58" s="22">
        <v>0.838709677419355</v>
      </c>
      <c r="AM58" s="15">
        <v>0.0</v>
      </c>
      <c r="AN58" s="15">
        <v>5.0</v>
      </c>
      <c r="AO58" s="23" t="s">
        <v>64</v>
      </c>
      <c r="AP58" s="23" t="s">
        <v>64</v>
      </c>
      <c r="AQ58" s="13" t="s">
        <v>108</v>
      </c>
      <c r="AR58" s="24" t="s">
        <v>130</v>
      </c>
      <c r="AS58" s="24"/>
      <c r="AT58" s="25" t="s">
        <v>278</v>
      </c>
      <c r="AU58" s="26" t="s">
        <v>68</v>
      </c>
      <c r="AV58" s="27"/>
      <c r="AW58" s="24" t="s">
        <v>69</v>
      </c>
      <c r="AX58" s="27"/>
      <c r="AY58" s="29" t="s">
        <v>70</v>
      </c>
      <c r="AZ58" s="30"/>
      <c r="BA58" s="25" t="s">
        <v>279</v>
      </c>
      <c r="BB58" s="26" t="s">
        <v>72</v>
      </c>
      <c r="BC58" s="27"/>
      <c r="BD58" s="24"/>
      <c r="BE58" s="25" t="s">
        <v>280</v>
      </c>
      <c r="BF58" s="27"/>
      <c r="BG58" s="27"/>
      <c r="BH58" s="27"/>
    </row>
    <row r="59" ht="14.25" customHeight="1">
      <c r="A59" s="12" t="s">
        <v>281</v>
      </c>
      <c r="B59" s="12"/>
      <c r="C59" s="13"/>
      <c r="D59" s="14"/>
      <c r="E59" s="15"/>
      <c r="F59" s="19"/>
      <c r="G59" s="39"/>
      <c r="H59" s="18"/>
      <c r="I59" s="17">
        <v>0.0602</v>
      </c>
      <c r="J59" s="18"/>
      <c r="K59" s="18" t="s">
        <v>62</v>
      </c>
      <c r="L59" s="18" t="s">
        <v>62</v>
      </c>
      <c r="M59" s="18" t="s">
        <v>62</v>
      </c>
      <c r="N59" s="18"/>
      <c r="O59" s="18" t="s">
        <v>62</v>
      </c>
      <c r="P59" s="18" t="s">
        <v>62</v>
      </c>
      <c r="Q59" s="19" t="s">
        <v>60</v>
      </c>
      <c r="R59" s="15">
        <f t="shared" si="3"/>
        <v>0</v>
      </c>
      <c r="S59" s="15">
        <v>116.0</v>
      </c>
      <c r="T59" s="15">
        <v>7.0</v>
      </c>
      <c r="U59" s="20">
        <f t="shared" si="4"/>
        <v>0.06034482759</v>
      </c>
      <c r="V59" s="15">
        <f t="shared" si="5"/>
        <v>20</v>
      </c>
      <c r="W59" s="15">
        <v>19.0</v>
      </c>
      <c r="X59" s="20">
        <f t="shared" si="6"/>
        <v>0.1637931034</v>
      </c>
      <c r="Y59" s="15">
        <f t="shared" ref="Y59:Z59" si="122">AE59-W59</f>
        <v>0</v>
      </c>
      <c r="Z59" s="20">
        <f t="shared" si="122"/>
        <v>0</v>
      </c>
      <c r="AA59" s="15">
        <v>19.0</v>
      </c>
      <c r="AB59" s="20">
        <f t="shared" si="8"/>
        <v>0.1637931034</v>
      </c>
      <c r="AC59" s="15">
        <f t="shared" ref="AC59:AD59" si="123">AE59-AA59</f>
        <v>0</v>
      </c>
      <c r="AD59" s="20">
        <f t="shared" si="123"/>
        <v>0</v>
      </c>
      <c r="AE59" s="15">
        <v>19.0</v>
      </c>
      <c r="AF59" s="20">
        <f t="shared" si="10"/>
        <v>0.1637931034</v>
      </c>
      <c r="AG59" s="15">
        <v>19.0</v>
      </c>
      <c r="AH59" s="20">
        <f t="shared" si="11"/>
        <v>0.1637931034</v>
      </c>
      <c r="AI59" s="15">
        <v>27.0</v>
      </c>
      <c r="AJ59" s="15">
        <v>0.0</v>
      </c>
      <c r="AK59" s="21">
        <v>0.0</v>
      </c>
      <c r="AL59" s="22">
        <v>0.232758620689655</v>
      </c>
      <c r="AM59" s="15">
        <v>17.0</v>
      </c>
      <c r="AN59" s="15">
        <v>89.0</v>
      </c>
      <c r="AO59" s="23" t="s">
        <v>64</v>
      </c>
      <c r="AP59" s="23" t="s">
        <v>64</v>
      </c>
      <c r="AQ59" s="13" t="s">
        <v>93</v>
      </c>
      <c r="AR59" s="24" t="s">
        <v>130</v>
      </c>
      <c r="AS59" s="24"/>
      <c r="AT59" s="25" t="s">
        <v>282</v>
      </c>
      <c r="AU59" s="26" t="s">
        <v>68</v>
      </c>
      <c r="AV59" s="27"/>
      <c r="AW59" s="24" t="s">
        <v>79</v>
      </c>
      <c r="AX59" s="28"/>
      <c r="AY59" s="29" t="s">
        <v>110</v>
      </c>
      <c r="AZ59" s="32"/>
      <c r="BA59" s="25" t="s">
        <v>283</v>
      </c>
      <c r="BB59" s="26" t="s">
        <v>72</v>
      </c>
      <c r="BC59" s="27"/>
      <c r="BD59" s="24" t="s">
        <v>112</v>
      </c>
      <c r="BE59" s="27"/>
      <c r="BF59" s="27"/>
      <c r="BG59" s="27"/>
      <c r="BH59" s="27"/>
    </row>
    <row r="60" ht="14.25" customHeight="1">
      <c r="A60" s="12" t="s">
        <v>284</v>
      </c>
      <c r="B60" s="12"/>
      <c r="C60" s="13"/>
      <c r="D60" s="14"/>
      <c r="E60" s="15"/>
      <c r="F60" s="15"/>
      <c r="G60" s="12"/>
      <c r="H60" s="16"/>
      <c r="I60" s="17">
        <v>0.1395</v>
      </c>
      <c r="J60" s="18"/>
      <c r="K60" s="18"/>
      <c r="L60" s="18" t="s">
        <v>129</v>
      </c>
      <c r="M60" s="18" t="s">
        <v>264</v>
      </c>
      <c r="N60" s="18"/>
      <c r="O60" s="18" t="s">
        <v>84</v>
      </c>
      <c r="P60" s="18" t="s">
        <v>84</v>
      </c>
      <c r="Q60" s="18" t="s">
        <v>84</v>
      </c>
      <c r="R60" s="15">
        <f t="shared" si="3"/>
        <v>0</v>
      </c>
      <c r="S60" s="15">
        <v>37.0</v>
      </c>
      <c r="T60" s="15">
        <v>0.0</v>
      </c>
      <c r="U60" s="20">
        <f t="shared" si="4"/>
        <v>0</v>
      </c>
      <c r="V60" s="15">
        <f t="shared" si="5"/>
        <v>15</v>
      </c>
      <c r="W60" s="15">
        <v>0.0</v>
      </c>
      <c r="X60" s="20">
        <f t="shared" si="6"/>
        <v>0</v>
      </c>
      <c r="Y60" s="15">
        <f t="shared" ref="Y60:Z60" si="124">AE60-W60</f>
        <v>15</v>
      </c>
      <c r="Z60" s="20">
        <f t="shared" si="124"/>
        <v>0.4054054054</v>
      </c>
      <c r="AA60" s="15">
        <v>0.0</v>
      </c>
      <c r="AB60" s="20">
        <f t="shared" si="8"/>
        <v>0</v>
      </c>
      <c r="AC60" s="15">
        <f t="shared" ref="AC60:AD60" si="125">AE60-AA60</f>
        <v>15</v>
      </c>
      <c r="AD60" s="20">
        <f t="shared" si="125"/>
        <v>0.4054054054</v>
      </c>
      <c r="AE60" s="15">
        <v>15.0</v>
      </c>
      <c r="AF60" s="20">
        <f t="shared" si="10"/>
        <v>0.4054054054</v>
      </c>
      <c r="AG60" s="15">
        <v>15.0</v>
      </c>
      <c r="AH60" s="20">
        <f t="shared" si="11"/>
        <v>0.4054054054</v>
      </c>
      <c r="AI60" s="15">
        <v>15.0</v>
      </c>
      <c r="AJ60" s="15">
        <v>0.0</v>
      </c>
      <c r="AK60" s="21">
        <v>0.0</v>
      </c>
      <c r="AL60" s="22">
        <v>0.405405405405405</v>
      </c>
      <c r="AM60" s="15">
        <v>22.0</v>
      </c>
      <c r="AN60" s="15">
        <v>22.0</v>
      </c>
      <c r="AO60" s="23" t="s">
        <v>63</v>
      </c>
      <c r="AP60" s="23" t="s">
        <v>64</v>
      </c>
      <c r="AQ60" s="13" t="s">
        <v>104</v>
      </c>
      <c r="AR60" s="24" t="s">
        <v>66</v>
      </c>
      <c r="AS60" s="24"/>
      <c r="AT60" s="25" t="s">
        <v>285</v>
      </c>
      <c r="AU60" s="26" t="s">
        <v>68</v>
      </c>
      <c r="AV60" s="27"/>
      <c r="AW60" s="24" t="s">
        <v>69</v>
      </c>
      <c r="AX60" s="28"/>
      <c r="AY60" s="29" t="s">
        <v>89</v>
      </c>
      <c r="AZ60" s="33"/>
      <c r="BA60" s="28"/>
      <c r="BB60" s="26" t="s">
        <v>90</v>
      </c>
      <c r="BC60" s="27"/>
      <c r="BD60" s="34" t="s">
        <v>91</v>
      </c>
      <c r="BE60" s="35"/>
      <c r="BF60" s="27"/>
      <c r="BG60" s="27"/>
      <c r="BH60" s="27"/>
    </row>
    <row r="61" ht="14.25" customHeight="1">
      <c r="A61" s="73" t="s">
        <v>286</v>
      </c>
      <c r="B61" s="73"/>
      <c r="C61" s="74"/>
      <c r="D61" s="75"/>
      <c r="E61" s="76"/>
      <c r="F61" s="77"/>
      <c r="G61" s="73"/>
      <c r="H61" s="77"/>
      <c r="I61" s="78">
        <v>0.3232</v>
      </c>
      <c r="J61" s="79"/>
      <c r="K61" s="79" t="s">
        <v>248</v>
      </c>
      <c r="L61" s="79" t="s">
        <v>62</v>
      </c>
      <c r="M61" s="79" t="s">
        <v>62</v>
      </c>
      <c r="N61" s="79" t="s">
        <v>62</v>
      </c>
      <c r="O61" s="79" t="s">
        <v>129</v>
      </c>
      <c r="P61" s="79" t="s">
        <v>120</v>
      </c>
      <c r="Q61" s="80" t="s">
        <v>120</v>
      </c>
      <c r="R61" s="76">
        <f t="shared" si="3"/>
        <v>0</v>
      </c>
      <c r="S61" s="76">
        <v>321.0</v>
      </c>
      <c r="T61" s="76">
        <v>95.0</v>
      </c>
      <c r="U61" s="20">
        <f t="shared" si="4"/>
        <v>0.2959501558</v>
      </c>
      <c r="V61" s="15">
        <f t="shared" si="5"/>
        <v>25</v>
      </c>
      <c r="W61" s="76">
        <v>95.0</v>
      </c>
      <c r="X61" s="81">
        <f t="shared" si="6"/>
        <v>0.2959501558</v>
      </c>
      <c r="Y61" s="76">
        <f t="shared" ref="Y61:Z61" si="126">AE61-W61</f>
        <v>29</v>
      </c>
      <c r="Z61" s="81">
        <f t="shared" si="126"/>
        <v>0.09034267913</v>
      </c>
      <c r="AA61" s="76">
        <v>126.0</v>
      </c>
      <c r="AB61" s="81">
        <f t="shared" si="8"/>
        <v>0.3925233645</v>
      </c>
      <c r="AC61" s="76">
        <f t="shared" ref="AC61:AD61" si="127">AE61-AA61</f>
        <v>-2</v>
      </c>
      <c r="AD61" s="81">
        <f t="shared" si="127"/>
        <v>-0.006230529595</v>
      </c>
      <c r="AE61" s="76">
        <v>124.0</v>
      </c>
      <c r="AF61" s="81">
        <f t="shared" si="10"/>
        <v>0.3862928349</v>
      </c>
      <c r="AG61" s="76">
        <v>124.0</v>
      </c>
      <c r="AH61" s="81">
        <f t="shared" si="11"/>
        <v>0.3862928349</v>
      </c>
      <c r="AI61" s="76">
        <v>120.0</v>
      </c>
      <c r="AJ61" s="76">
        <v>4.0</v>
      </c>
      <c r="AK61" s="82">
        <v>0.0</v>
      </c>
      <c r="AL61" s="83">
        <v>0.386292834890966</v>
      </c>
      <c r="AM61" s="76">
        <v>201.0</v>
      </c>
      <c r="AN61" s="76">
        <v>152.0</v>
      </c>
      <c r="AO61" s="84" t="s">
        <v>64</v>
      </c>
      <c r="AP61" s="84" t="s">
        <v>64</v>
      </c>
      <c r="AQ61" s="85" t="s">
        <v>108</v>
      </c>
      <c r="AR61" s="86" t="s">
        <v>66</v>
      </c>
      <c r="AS61" s="86"/>
      <c r="AT61" s="87" t="s">
        <v>287</v>
      </c>
      <c r="AU61" s="88" t="s">
        <v>68</v>
      </c>
      <c r="AV61" s="93"/>
      <c r="AW61" s="86" t="s">
        <v>79</v>
      </c>
      <c r="AX61" s="90"/>
      <c r="AY61" s="91" t="s">
        <v>260</v>
      </c>
      <c r="AZ61" s="24"/>
      <c r="BA61" s="92" t="s">
        <v>288</v>
      </c>
      <c r="BB61" s="88" t="s">
        <v>289</v>
      </c>
      <c r="BC61" s="93"/>
      <c r="BD61" s="94" t="s">
        <v>91</v>
      </c>
      <c r="BE61" s="94"/>
      <c r="BF61" s="90"/>
      <c r="BG61" s="93"/>
      <c r="BH61" s="93"/>
    </row>
    <row r="62" ht="14.25" customHeight="1">
      <c r="A62" s="12" t="s">
        <v>290</v>
      </c>
      <c r="B62" s="12"/>
      <c r="C62" s="13"/>
      <c r="D62" s="14"/>
      <c r="E62" s="15"/>
      <c r="F62" s="15"/>
      <c r="G62" s="12"/>
      <c r="H62" s="16"/>
      <c r="I62" s="17">
        <v>0.0</v>
      </c>
      <c r="J62" s="18"/>
      <c r="K62" s="18"/>
      <c r="L62" s="18" t="s">
        <v>84</v>
      </c>
      <c r="M62" s="18" t="s">
        <v>84</v>
      </c>
      <c r="N62" s="18"/>
      <c r="O62" s="18" t="s">
        <v>84</v>
      </c>
      <c r="P62" s="18" t="s">
        <v>84</v>
      </c>
      <c r="Q62" s="18" t="s">
        <v>84</v>
      </c>
      <c r="R62" s="15">
        <f t="shared" si="3"/>
        <v>0</v>
      </c>
      <c r="S62" s="15">
        <v>48.0</v>
      </c>
      <c r="T62" s="15">
        <v>0.0</v>
      </c>
      <c r="U62" s="20">
        <f t="shared" si="4"/>
        <v>0</v>
      </c>
      <c r="V62" s="15">
        <f t="shared" si="5"/>
        <v>18</v>
      </c>
      <c r="W62" s="15">
        <v>0.0</v>
      </c>
      <c r="X62" s="20">
        <f t="shared" si="6"/>
        <v>0</v>
      </c>
      <c r="Y62" s="15">
        <f t="shared" ref="Y62:Z62" si="128">AE62-W62</f>
        <v>18</v>
      </c>
      <c r="Z62" s="20">
        <f t="shared" si="128"/>
        <v>0.375</v>
      </c>
      <c r="AA62" s="15">
        <v>0.0</v>
      </c>
      <c r="AB62" s="20">
        <f t="shared" si="8"/>
        <v>0</v>
      </c>
      <c r="AC62" s="15">
        <f t="shared" ref="AC62:AD62" si="129">AE62-AA62</f>
        <v>18</v>
      </c>
      <c r="AD62" s="20">
        <f t="shared" si="129"/>
        <v>0.375</v>
      </c>
      <c r="AE62" s="15">
        <v>18.0</v>
      </c>
      <c r="AF62" s="20">
        <f t="shared" si="10"/>
        <v>0.375</v>
      </c>
      <c r="AG62" s="15" t="e">
        <v>#N/A</v>
      </c>
      <c r="AH62" s="20" t="str">
        <f t="shared" si="11"/>
        <v>#N/A</v>
      </c>
      <c r="AI62" s="15">
        <v>18.0</v>
      </c>
      <c r="AJ62" s="15">
        <v>0.0</v>
      </c>
      <c r="AK62" s="21">
        <v>0.0</v>
      </c>
      <c r="AL62" s="22">
        <v>0.375</v>
      </c>
      <c r="AM62" s="15">
        <v>30.0</v>
      </c>
      <c r="AN62" s="15">
        <v>30.0</v>
      </c>
      <c r="AO62" s="23" t="s">
        <v>63</v>
      </c>
      <c r="AP62" s="23" t="s">
        <v>64</v>
      </c>
      <c r="AQ62" s="13" t="e">
        <v>#N/A</v>
      </c>
      <c r="AR62" s="24" t="s">
        <v>66</v>
      </c>
      <c r="AS62" s="24"/>
      <c r="AT62" s="113" t="s">
        <v>291</v>
      </c>
      <c r="AU62" s="26" t="s">
        <v>292</v>
      </c>
      <c r="AV62" s="27"/>
      <c r="AW62" s="27"/>
      <c r="AX62" s="28"/>
      <c r="AY62" s="29" t="s">
        <v>89</v>
      </c>
      <c r="AZ62" s="33"/>
      <c r="BA62" s="28"/>
      <c r="BB62" s="26" t="s">
        <v>90</v>
      </c>
      <c r="BC62" s="27"/>
      <c r="BD62" s="34" t="s">
        <v>91</v>
      </c>
      <c r="BE62" s="35"/>
      <c r="BF62" s="27"/>
      <c r="BG62" s="27"/>
      <c r="BH62" s="27"/>
    </row>
    <row r="63" ht="14.25" customHeight="1">
      <c r="A63" s="12" t="s">
        <v>293</v>
      </c>
      <c r="B63" s="12"/>
      <c r="C63" s="13"/>
      <c r="D63" s="14"/>
      <c r="E63" s="15"/>
      <c r="F63" s="15"/>
      <c r="G63" s="12"/>
      <c r="H63" s="16"/>
      <c r="I63" s="17">
        <v>0.3932</v>
      </c>
      <c r="J63" s="18"/>
      <c r="K63" s="18"/>
      <c r="L63" s="18" t="s">
        <v>129</v>
      </c>
      <c r="M63" s="18" t="s">
        <v>62</v>
      </c>
      <c r="N63" s="18"/>
      <c r="O63" s="18" t="s">
        <v>294</v>
      </c>
      <c r="P63" s="18" t="s">
        <v>129</v>
      </c>
      <c r="Q63" s="19" t="s">
        <v>129</v>
      </c>
      <c r="R63" s="15">
        <f t="shared" si="3"/>
        <v>0</v>
      </c>
      <c r="S63" s="15">
        <v>523.0</v>
      </c>
      <c r="T63" s="15">
        <v>226.0</v>
      </c>
      <c r="U63" s="20">
        <f t="shared" si="4"/>
        <v>0.4321223709</v>
      </c>
      <c r="V63" s="15">
        <f t="shared" si="5"/>
        <v>41</v>
      </c>
      <c r="W63" s="15">
        <v>82.0</v>
      </c>
      <c r="X63" s="20">
        <f t="shared" si="6"/>
        <v>0.1567877629</v>
      </c>
      <c r="Y63" s="15">
        <f t="shared" ref="Y63:Z63" si="130">AE63-W63</f>
        <v>314</v>
      </c>
      <c r="Z63" s="20">
        <f t="shared" si="130"/>
        <v>0.6003824092</v>
      </c>
      <c r="AA63" s="15">
        <v>82.0</v>
      </c>
      <c r="AB63" s="20">
        <f t="shared" si="8"/>
        <v>0.1567877629</v>
      </c>
      <c r="AC63" s="15">
        <f t="shared" ref="AC63:AD63" si="131">AE63-AA63</f>
        <v>314</v>
      </c>
      <c r="AD63" s="20">
        <f t="shared" si="131"/>
        <v>0.6003824092</v>
      </c>
      <c r="AE63" s="15">
        <v>396.0</v>
      </c>
      <c r="AF63" s="20">
        <f t="shared" si="10"/>
        <v>0.7571701721</v>
      </c>
      <c r="AG63" s="15">
        <v>396.0</v>
      </c>
      <c r="AH63" s="20">
        <f t="shared" si="11"/>
        <v>0.7571701721</v>
      </c>
      <c r="AI63" s="15">
        <v>267.0</v>
      </c>
      <c r="AJ63" s="15">
        <v>129.0</v>
      </c>
      <c r="AK63" s="21">
        <v>0.0</v>
      </c>
      <c r="AL63" s="22">
        <v>0.75717017208413</v>
      </c>
      <c r="AM63" s="15">
        <v>228.0</v>
      </c>
      <c r="AN63" s="15">
        <v>127.0</v>
      </c>
      <c r="AO63" s="23" t="s">
        <v>64</v>
      </c>
      <c r="AP63" s="23" t="s">
        <v>64</v>
      </c>
      <c r="AQ63" s="13" t="s">
        <v>65</v>
      </c>
      <c r="AR63" s="24" t="s">
        <v>66</v>
      </c>
      <c r="AS63" s="24"/>
      <c r="AT63" s="25" t="s">
        <v>295</v>
      </c>
      <c r="AU63" s="26" t="s">
        <v>68</v>
      </c>
      <c r="AV63" s="36"/>
      <c r="AW63" s="24" t="s">
        <v>69</v>
      </c>
      <c r="AX63" s="28"/>
      <c r="AY63" s="29" t="s">
        <v>70</v>
      </c>
      <c r="AZ63" s="62"/>
      <c r="BA63" s="25" t="s">
        <v>296</v>
      </c>
      <c r="BB63" s="26" t="s">
        <v>297</v>
      </c>
      <c r="BC63" s="27"/>
      <c r="BD63" s="24"/>
      <c r="BE63" s="25" t="s">
        <v>296</v>
      </c>
      <c r="BF63" s="27"/>
      <c r="BG63" s="27"/>
      <c r="BH63" s="27"/>
    </row>
    <row r="64" ht="14.25" customHeight="1">
      <c r="A64" s="12" t="s">
        <v>298</v>
      </c>
      <c r="B64" s="12"/>
      <c r="C64" s="13"/>
      <c r="D64" s="14"/>
      <c r="E64" s="15"/>
      <c r="F64" s="15"/>
      <c r="G64" s="12"/>
      <c r="H64" s="16"/>
      <c r="I64" s="17">
        <v>0.5</v>
      </c>
      <c r="J64" s="18"/>
      <c r="K64" s="18" t="s">
        <v>76</v>
      </c>
      <c r="L64" s="18" t="s">
        <v>76</v>
      </c>
      <c r="M64" s="18" t="s">
        <v>62</v>
      </c>
      <c r="N64" s="18"/>
      <c r="O64" s="18" t="s">
        <v>60</v>
      </c>
      <c r="P64" s="18" t="s">
        <v>60</v>
      </c>
      <c r="Q64" s="19" t="s">
        <v>60</v>
      </c>
      <c r="R64" s="15">
        <f t="shared" si="3"/>
        <v>0</v>
      </c>
      <c r="S64" s="15">
        <v>23.0</v>
      </c>
      <c r="T64" s="15">
        <v>13.0</v>
      </c>
      <c r="U64" s="20">
        <f t="shared" si="4"/>
        <v>0.5652173913</v>
      </c>
      <c r="V64" s="15">
        <f t="shared" si="5"/>
        <v>10</v>
      </c>
      <c r="W64" s="15">
        <v>23.0</v>
      </c>
      <c r="X64" s="20">
        <f t="shared" si="6"/>
        <v>1</v>
      </c>
      <c r="Y64" s="15">
        <f t="shared" ref="Y64:Z64" si="132">AE64-W64</f>
        <v>0</v>
      </c>
      <c r="Z64" s="20">
        <f t="shared" si="132"/>
        <v>0</v>
      </c>
      <c r="AA64" s="15">
        <v>23.0</v>
      </c>
      <c r="AB64" s="20">
        <f t="shared" si="8"/>
        <v>1</v>
      </c>
      <c r="AC64" s="15">
        <f t="shared" ref="AC64:AD64" si="133">AE64-AA64</f>
        <v>0</v>
      </c>
      <c r="AD64" s="20">
        <f t="shared" si="133"/>
        <v>0</v>
      </c>
      <c r="AE64" s="15">
        <v>23.0</v>
      </c>
      <c r="AF64" s="20">
        <f t="shared" si="10"/>
        <v>1</v>
      </c>
      <c r="AG64" s="15" t="e">
        <v>#N/A</v>
      </c>
      <c r="AH64" s="20" t="str">
        <f t="shared" si="11"/>
        <v>#N/A</v>
      </c>
      <c r="AI64" s="15">
        <v>23.0</v>
      </c>
      <c r="AJ64" s="15">
        <v>0.0</v>
      </c>
      <c r="AK64" s="21">
        <v>0.0</v>
      </c>
      <c r="AL64" s="22">
        <v>1.0</v>
      </c>
      <c r="AM64" s="15">
        <v>0.0</v>
      </c>
      <c r="AN64" s="15">
        <v>0.0</v>
      </c>
      <c r="AO64" s="23" t="s">
        <v>63</v>
      </c>
      <c r="AP64" s="23" t="s">
        <v>64</v>
      </c>
      <c r="AQ64" s="13" t="s">
        <v>77</v>
      </c>
      <c r="AR64" s="24" t="s">
        <v>66</v>
      </c>
      <c r="AS64" s="24"/>
      <c r="AT64" s="25" t="s">
        <v>299</v>
      </c>
      <c r="AU64" s="26" t="s">
        <v>132</v>
      </c>
      <c r="AV64" s="27"/>
      <c r="AW64" s="24" t="s">
        <v>133</v>
      </c>
      <c r="AX64" s="36">
        <v>46002.0</v>
      </c>
      <c r="AY64" s="29" t="s">
        <v>250</v>
      </c>
      <c r="AZ64" s="33"/>
      <c r="BA64" s="28"/>
      <c r="BB64" s="26"/>
      <c r="BC64" s="27"/>
      <c r="BD64" s="24"/>
      <c r="BE64" s="72"/>
      <c r="BF64" s="27"/>
      <c r="BG64" s="27"/>
      <c r="BH64" s="27"/>
    </row>
    <row r="65" ht="14.25" customHeight="1">
      <c r="A65" s="12" t="s">
        <v>300</v>
      </c>
      <c r="B65" s="12"/>
      <c r="C65" s="13"/>
      <c r="D65" s="14"/>
      <c r="E65" s="15"/>
      <c r="F65" s="15"/>
      <c r="G65" s="12"/>
      <c r="H65" s="16"/>
      <c r="I65" s="17">
        <v>0.0</v>
      </c>
      <c r="J65" s="18"/>
      <c r="K65" s="18"/>
      <c r="L65" s="18" t="s">
        <v>84</v>
      </c>
      <c r="M65" s="18" t="s">
        <v>84</v>
      </c>
      <c r="N65" s="18"/>
      <c r="O65" s="18" t="s">
        <v>84</v>
      </c>
      <c r="P65" s="18" t="s">
        <v>86</v>
      </c>
      <c r="Q65" s="19" t="s">
        <v>60</v>
      </c>
      <c r="R65" s="15">
        <f t="shared" si="3"/>
        <v>0</v>
      </c>
      <c r="S65" s="15">
        <v>61.0</v>
      </c>
      <c r="T65" s="15">
        <v>0.0</v>
      </c>
      <c r="U65" s="20">
        <f t="shared" si="4"/>
        <v>0</v>
      </c>
      <c r="V65" s="15">
        <f t="shared" si="5"/>
        <v>38</v>
      </c>
      <c r="W65" s="15">
        <v>0.0</v>
      </c>
      <c r="X65" s="20">
        <f t="shared" si="6"/>
        <v>0</v>
      </c>
      <c r="Y65" s="15">
        <f t="shared" ref="Y65:Z65" si="134">AE65-W65</f>
        <v>38</v>
      </c>
      <c r="Z65" s="20">
        <f t="shared" si="134"/>
        <v>0.6229508197</v>
      </c>
      <c r="AA65" s="15">
        <v>38.0</v>
      </c>
      <c r="AB65" s="20">
        <f t="shared" si="8"/>
        <v>0.6229508197</v>
      </c>
      <c r="AC65" s="15">
        <f t="shared" ref="AC65:AD65" si="135">AE65-AA65</f>
        <v>0</v>
      </c>
      <c r="AD65" s="20">
        <f t="shared" si="135"/>
        <v>0</v>
      </c>
      <c r="AE65" s="15">
        <v>38.0</v>
      </c>
      <c r="AF65" s="20">
        <f t="shared" si="10"/>
        <v>0.6229508197</v>
      </c>
      <c r="AG65" s="15">
        <v>38.0</v>
      </c>
      <c r="AH65" s="20">
        <f t="shared" si="11"/>
        <v>0.6229508197</v>
      </c>
      <c r="AI65" s="15">
        <v>38.0</v>
      </c>
      <c r="AJ65" s="15">
        <v>0.0</v>
      </c>
      <c r="AK65" s="21">
        <v>0.0</v>
      </c>
      <c r="AL65" s="22">
        <v>0.622950819672131</v>
      </c>
      <c r="AM65" s="15">
        <v>23.0</v>
      </c>
      <c r="AN65" s="15">
        <v>23.0</v>
      </c>
      <c r="AO65" s="23" t="s">
        <v>64</v>
      </c>
      <c r="AP65" s="23" t="s">
        <v>64</v>
      </c>
      <c r="AQ65" s="13" t="s">
        <v>93</v>
      </c>
      <c r="AR65" s="24" t="s">
        <v>66</v>
      </c>
      <c r="AS65" s="24"/>
      <c r="AT65" s="25" t="s">
        <v>301</v>
      </c>
      <c r="AU65" s="26" t="s">
        <v>68</v>
      </c>
      <c r="AV65" s="27"/>
      <c r="AW65" s="24" t="s">
        <v>100</v>
      </c>
      <c r="AX65" s="28"/>
      <c r="AY65" s="29" t="s">
        <v>89</v>
      </c>
      <c r="AZ65" s="37"/>
      <c r="BA65" s="28"/>
      <c r="BB65" s="26" t="s">
        <v>90</v>
      </c>
      <c r="BC65" s="27"/>
      <c r="BD65" s="34" t="s">
        <v>91</v>
      </c>
      <c r="BE65" s="38"/>
      <c r="BF65" s="27"/>
      <c r="BG65" s="27"/>
      <c r="BH65" s="27"/>
    </row>
    <row r="66" ht="14.25" customHeight="1">
      <c r="A66" s="12" t="s">
        <v>302</v>
      </c>
      <c r="B66" s="12"/>
      <c r="C66" s="13"/>
      <c r="D66" s="14"/>
      <c r="E66" s="15"/>
      <c r="F66" s="15"/>
      <c r="G66" s="12"/>
      <c r="H66" s="16"/>
      <c r="I66" s="17">
        <v>0.5</v>
      </c>
      <c r="J66" s="18" t="s">
        <v>303</v>
      </c>
      <c r="K66" s="18" t="s">
        <v>304</v>
      </c>
      <c r="L66" s="18" t="s">
        <v>76</v>
      </c>
      <c r="M66" s="18" t="s">
        <v>62</v>
      </c>
      <c r="N66" s="18"/>
      <c r="O66" s="18" t="s">
        <v>62</v>
      </c>
      <c r="P66" s="18" t="s">
        <v>60</v>
      </c>
      <c r="Q66" s="19" t="s">
        <v>60</v>
      </c>
      <c r="R66" s="15">
        <f t="shared" si="3"/>
        <v>0</v>
      </c>
      <c r="S66" s="15">
        <v>49.0</v>
      </c>
      <c r="T66" s="15">
        <v>21.0</v>
      </c>
      <c r="U66" s="20">
        <f t="shared" si="4"/>
        <v>0.4285714286</v>
      </c>
      <c r="V66" s="15">
        <f t="shared" si="5"/>
        <v>17</v>
      </c>
      <c r="W66" s="15">
        <v>21.0</v>
      </c>
      <c r="X66" s="20">
        <f t="shared" si="6"/>
        <v>0.4285714286</v>
      </c>
      <c r="Y66" s="15">
        <f t="shared" ref="Y66:Z66" si="136">AE66-W66</f>
        <v>17</v>
      </c>
      <c r="Z66" s="20">
        <f t="shared" si="136"/>
        <v>0.3469387755</v>
      </c>
      <c r="AA66" s="15">
        <v>38.0</v>
      </c>
      <c r="AB66" s="20">
        <f t="shared" si="8"/>
        <v>0.7755102041</v>
      </c>
      <c r="AC66" s="15">
        <f t="shared" ref="AC66:AD66" si="137">AE66-AA66</f>
        <v>0</v>
      </c>
      <c r="AD66" s="20">
        <f t="shared" si="137"/>
        <v>0</v>
      </c>
      <c r="AE66" s="15">
        <v>38.0</v>
      </c>
      <c r="AF66" s="20">
        <f t="shared" si="10"/>
        <v>0.7755102041</v>
      </c>
      <c r="AG66" s="15">
        <v>38.0</v>
      </c>
      <c r="AH66" s="20">
        <f t="shared" si="11"/>
        <v>0.7755102041</v>
      </c>
      <c r="AI66" s="15">
        <v>38.0</v>
      </c>
      <c r="AJ66" s="15">
        <v>0.0</v>
      </c>
      <c r="AK66" s="21">
        <v>0.0</v>
      </c>
      <c r="AL66" s="22">
        <v>0.775510204081633</v>
      </c>
      <c r="AM66" s="15">
        <v>0.0</v>
      </c>
      <c r="AN66" s="15">
        <v>11.0</v>
      </c>
      <c r="AO66" s="23" t="s">
        <v>64</v>
      </c>
      <c r="AP66" s="23" t="s">
        <v>64</v>
      </c>
      <c r="AQ66" s="13" t="s">
        <v>65</v>
      </c>
      <c r="AR66" s="24" t="s">
        <v>130</v>
      </c>
      <c r="AS66" s="24"/>
      <c r="AT66" s="25" t="s">
        <v>305</v>
      </c>
      <c r="AU66" s="26" t="s">
        <v>68</v>
      </c>
      <c r="AV66" s="27"/>
      <c r="AW66" s="24" t="s">
        <v>69</v>
      </c>
      <c r="AX66" s="28"/>
      <c r="AY66" s="29" t="s">
        <v>110</v>
      </c>
      <c r="AZ66" s="30"/>
      <c r="BA66" s="25" t="s">
        <v>306</v>
      </c>
      <c r="BB66" s="26" t="s">
        <v>72</v>
      </c>
      <c r="BC66" s="27"/>
      <c r="BD66" s="24" t="s">
        <v>307</v>
      </c>
      <c r="BE66" s="27"/>
      <c r="BF66" s="27"/>
      <c r="BG66" s="27"/>
      <c r="BH66" s="27"/>
    </row>
    <row r="67" ht="14.25" customHeight="1">
      <c r="A67" s="12" t="s">
        <v>308</v>
      </c>
      <c r="B67" s="12"/>
      <c r="C67" s="13"/>
      <c r="D67" s="14"/>
      <c r="E67" s="15"/>
      <c r="F67" s="19"/>
      <c r="G67" s="39"/>
      <c r="H67" s="18"/>
      <c r="I67" s="17">
        <v>0.3636</v>
      </c>
      <c r="J67" s="18"/>
      <c r="K67" s="18"/>
      <c r="L67" s="18" t="s">
        <v>129</v>
      </c>
      <c r="M67" s="18" t="s">
        <v>85</v>
      </c>
      <c r="N67" s="18"/>
      <c r="O67" s="18" t="s">
        <v>62</v>
      </c>
      <c r="P67" s="18" t="s">
        <v>86</v>
      </c>
      <c r="Q67" s="19" t="s">
        <v>60</v>
      </c>
      <c r="R67" s="15">
        <f t="shared" si="3"/>
        <v>0</v>
      </c>
      <c r="S67" s="15">
        <v>17.0</v>
      </c>
      <c r="T67" s="15">
        <v>8.0</v>
      </c>
      <c r="U67" s="20">
        <f t="shared" si="4"/>
        <v>0.4705882353</v>
      </c>
      <c r="V67" s="15">
        <f t="shared" si="5"/>
        <v>9</v>
      </c>
      <c r="W67" s="15">
        <v>16.0</v>
      </c>
      <c r="X67" s="20">
        <f t="shared" si="6"/>
        <v>0.9411764706</v>
      </c>
      <c r="Y67" s="15">
        <f t="shared" ref="Y67:Z67" si="138">AE67-W67</f>
        <v>1</v>
      </c>
      <c r="Z67" s="20">
        <f t="shared" si="138"/>
        <v>0.05882352941</v>
      </c>
      <c r="AA67" s="15">
        <v>17.0</v>
      </c>
      <c r="AB67" s="20">
        <f t="shared" si="8"/>
        <v>1</v>
      </c>
      <c r="AC67" s="15">
        <f t="shared" ref="AC67:AD67" si="139">AE67-AA67</f>
        <v>0</v>
      </c>
      <c r="AD67" s="20">
        <f t="shared" si="139"/>
        <v>0</v>
      </c>
      <c r="AE67" s="15">
        <v>17.0</v>
      </c>
      <c r="AF67" s="20">
        <f t="shared" si="10"/>
        <v>1</v>
      </c>
      <c r="AG67" s="15">
        <v>17.0</v>
      </c>
      <c r="AH67" s="20">
        <f t="shared" si="11"/>
        <v>1</v>
      </c>
      <c r="AI67" s="15">
        <v>17.0</v>
      </c>
      <c r="AJ67" s="15">
        <v>0.0</v>
      </c>
      <c r="AK67" s="21">
        <v>0.0</v>
      </c>
      <c r="AL67" s="22">
        <v>1.0</v>
      </c>
      <c r="AM67" s="15">
        <v>0.0</v>
      </c>
      <c r="AN67" s="15">
        <v>0.0</v>
      </c>
      <c r="AO67" s="23" t="s">
        <v>63</v>
      </c>
      <c r="AP67" s="23" t="s">
        <v>64</v>
      </c>
      <c r="AQ67" s="13" t="s">
        <v>77</v>
      </c>
      <c r="AR67" s="24" t="s">
        <v>66</v>
      </c>
      <c r="AS67" s="24"/>
      <c r="AT67" s="25" t="s">
        <v>309</v>
      </c>
      <c r="AU67" s="26" t="s">
        <v>253</v>
      </c>
      <c r="AV67" s="27"/>
      <c r="AW67" s="24" t="s">
        <v>133</v>
      </c>
      <c r="AX67" s="56">
        <v>46000.0</v>
      </c>
      <c r="AY67" s="29" t="s">
        <v>110</v>
      </c>
      <c r="AZ67" s="32"/>
      <c r="BA67" s="25" t="s">
        <v>310</v>
      </c>
      <c r="BB67" s="26" t="s">
        <v>72</v>
      </c>
      <c r="BC67" s="27"/>
      <c r="BD67" s="24" t="s">
        <v>112</v>
      </c>
      <c r="BE67" s="25" t="s">
        <v>311</v>
      </c>
      <c r="BF67" s="27"/>
      <c r="BG67" s="27"/>
      <c r="BH67" s="27"/>
    </row>
    <row r="68" ht="14.25" customHeight="1">
      <c r="A68" s="12" t="s">
        <v>312</v>
      </c>
      <c r="B68" s="12"/>
      <c r="C68" s="13"/>
      <c r="D68" s="14"/>
      <c r="E68" s="15"/>
      <c r="F68" s="15"/>
      <c r="G68" s="12"/>
      <c r="H68" s="16"/>
      <c r="I68" s="17">
        <v>0.0784</v>
      </c>
      <c r="J68" s="18"/>
      <c r="K68" s="18" t="s">
        <v>62</v>
      </c>
      <c r="L68" s="18" t="s">
        <v>62</v>
      </c>
      <c r="M68" s="18" t="s">
        <v>264</v>
      </c>
      <c r="N68" s="18"/>
      <c r="O68" s="18" t="s">
        <v>84</v>
      </c>
      <c r="P68" s="18" t="s">
        <v>86</v>
      </c>
      <c r="Q68" s="19" t="s">
        <v>60</v>
      </c>
      <c r="R68" s="15">
        <f t="shared" si="3"/>
        <v>0</v>
      </c>
      <c r="S68" s="15">
        <v>35.0</v>
      </c>
      <c r="T68" s="15">
        <v>0.0</v>
      </c>
      <c r="U68" s="20">
        <f t="shared" si="4"/>
        <v>0</v>
      </c>
      <c r="V68" s="15">
        <f t="shared" si="5"/>
        <v>16</v>
      </c>
      <c r="W68" s="15">
        <v>0.0</v>
      </c>
      <c r="X68" s="20">
        <f t="shared" si="6"/>
        <v>0</v>
      </c>
      <c r="Y68" s="15">
        <f t="shared" ref="Y68:Z68" si="140">AE68-W68</f>
        <v>16</v>
      </c>
      <c r="Z68" s="20">
        <f t="shared" si="140"/>
        <v>0.4571428571</v>
      </c>
      <c r="AA68" s="15">
        <v>16.0</v>
      </c>
      <c r="AB68" s="20">
        <f t="shared" si="8"/>
        <v>0.4571428571</v>
      </c>
      <c r="AC68" s="15">
        <f t="shared" ref="AC68:AD68" si="141">AE68-AA68</f>
        <v>0</v>
      </c>
      <c r="AD68" s="20">
        <f t="shared" si="141"/>
        <v>0</v>
      </c>
      <c r="AE68" s="15">
        <v>16.0</v>
      </c>
      <c r="AF68" s="20">
        <f t="shared" si="10"/>
        <v>0.4571428571</v>
      </c>
      <c r="AG68" s="15">
        <v>16.0</v>
      </c>
      <c r="AH68" s="20">
        <f t="shared" si="11"/>
        <v>0.4571428571</v>
      </c>
      <c r="AI68" s="15">
        <v>16.0</v>
      </c>
      <c r="AJ68" s="15">
        <v>0.0</v>
      </c>
      <c r="AK68" s="21">
        <v>0.0</v>
      </c>
      <c r="AL68" s="22">
        <v>0.457142857142857</v>
      </c>
      <c r="AM68" s="15">
        <v>19.0</v>
      </c>
      <c r="AN68" s="15">
        <v>19.0</v>
      </c>
      <c r="AO68" s="23" t="s">
        <v>63</v>
      </c>
      <c r="AP68" s="23" t="s">
        <v>64</v>
      </c>
      <c r="AQ68" s="13" t="s">
        <v>65</v>
      </c>
      <c r="AR68" s="24" t="s">
        <v>66</v>
      </c>
      <c r="AS68" s="24"/>
      <c r="AT68" s="25" t="s">
        <v>313</v>
      </c>
      <c r="AU68" s="26" t="s">
        <v>68</v>
      </c>
      <c r="AV68" s="27"/>
      <c r="AW68" s="24" t="s">
        <v>69</v>
      </c>
      <c r="AX68" s="28"/>
      <c r="AY68" s="29" t="s">
        <v>89</v>
      </c>
      <c r="AZ68" s="33"/>
      <c r="BA68" s="28"/>
      <c r="BB68" s="26" t="s">
        <v>90</v>
      </c>
      <c r="BC68" s="27"/>
      <c r="BD68" s="34" t="s">
        <v>91</v>
      </c>
      <c r="BE68" s="35"/>
      <c r="BF68" s="27"/>
      <c r="BG68" s="27"/>
      <c r="BH68" s="27"/>
    </row>
    <row r="69" ht="14.25" customHeight="1">
      <c r="A69" s="12" t="s">
        <v>314</v>
      </c>
      <c r="B69" s="12"/>
      <c r="C69" s="13"/>
      <c r="D69" s="14"/>
      <c r="E69" s="15"/>
      <c r="F69" s="15"/>
      <c r="G69" s="12"/>
      <c r="H69" s="16"/>
      <c r="I69" s="17">
        <v>0.0227</v>
      </c>
      <c r="J69" s="18"/>
      <c r="K69" s="18" t="s">
        <v>84</v>
      </c>
      <c r="L69" s="18" t="s">
        <v>62</v>
      </c>
      <c r="M69" s="18" t="s">
        <v>62</v>
      </c>
      <c r="N69" s="18"/>
      <c r="O69" s="18" t="s">
        <v>62</v>
      </c>
      <c r="P69" s="18" t="s">
        <v>86</v>
      </c>
      <c r="Q69" s="19" t="s">
        <v>129</v>
      </c>
      <c r="R69" s="15">
        <f t="shared" si="3"/>
        <v>0</v>
      </c>
      <c r="S69" s="15">
        <v>44.0</v>
      </c>
      <c r="T69" s="15">
        <v>1.0</v>
      </c>
      <c r="U69" s="20">
        <f t="shared" si="4"/>
        <v>0.02272727273</v>
      </c>
      <c r="V69" s="15">
        <f t="shared" si="5"/>
        <v>34</v>
      </c>
      <c r="W69" s="15">
        <v>1.0</v>
      </c>
      <c r="X69" s="20">
        <f t="shared" si="6"/>
        <v>0.02272727273</v>
      </c>
      <c r="Y69" s="15">
        <f t="shared" ref="Y69:Z69" si="142">AE69-W69</f>
        <v>34</v>
      </c>
      <c r="Z69" s="20">
        <f t="shared" si="142"/>
        <v>0.7727272727</v>
      </c>
      <c r="AA69" s="15">
        <v>1.0</v>
      </c>
      <c r="AB69" s="20">
        <f t="shared" si="8"/>
        <v>0.02272727273</v>
      </c>
      <c r="AC69" s="15">
        <f t="shared" ref="AC69:AD69" si="143">AE69-AA69</f>
        <v>34</v>
      </c>
      <c r="AD69" s="20">
        <f t="shared" si="143"/>
        <v>0.7727272727</v>
      </c>
      <c r="AE69" s="15">
        <v>35.0</v>
      </c>
      <c r="AF69" s="20">
        <f t="shared" si="10"/>
        <v>0.7954545455</v>
      </c>
      <c r="AG69" s="15">
        <v>35.0</v>
      </c>
      <c r="AH69" s="20">
        <f t="shared" si="11"/>
        <v>0.7954545455</v>
      </c>
      <c r="AI69" s="15">
        <v>35.0</v>
      </c>
      <c r="AJ69" s="15">
        <v>0.0</v>
      </c>
      <c r="AK69" s="21">
        <v>0.0</v>
      </c>
      <c r="AL69" s="22">
        <v>0.795454545454545</v>
      </c>
      <c r="AM69" s="15">
        <v>9.0</v>
      </c>
      <c r="AN69" s="15">
        <v>9.0</v>
      </c>
      <c r="AO69" s="23" t="s">
        <v>64</v>
      </c>
      <c r="AP69" s="23" t="s">
        <v>64</v>
      </c>
      <c r="AQ69" s="13" t="s">
        <v>65</v>
      </c>
      <c r="AR69" s="24" t="s">
        <v>66</v>
      </c>
      <c r="AS69" s="24"/>
      <c r="AT69" s="25" t="s">
        <v>315</v>
      </c>
      <c r="AU69" s="26" t="s">
        <v>118</v>
      </c>
      <c r="AV69" s="36"/>
      <c r="AW69" s="24" t="s">
        <v>133</v>
      </c>
      <c r="AX69" s="42">
        <v>46002.0</v>
      </c>
      <c r="AY69" s="29" t="s">
        <v>89</v>
      </c>
      <c r="AZ69" s="37"/>
      <c r="BA69" s="28"/>
      <c r="BB69" s="26" t="s">
        <v>90</v>
      </c>
      <c r="BC69" s="27"/>
      <c r="BD69" s="34" t="s">
        <v>91</v>
      </c>
      <c r="BE69" s="38"/>
      <c r="BF69" s="27"/>
      <c r="BG69" s="27"/>
      <c r="BH69" s="27"/>
    </row>
    <row r="70" ht="14.25" customHeight="1">
      <c r="A70" s="12" t="s">
        <v>316</v>
      </c>
      <c r="B70" s="12"/>
      <c r="C70" s="13"/>
      <c r="D70" s="14"/>
      <c r="E70" s="15"/>
      <c r="F70" s="15"/>
      <c r="G70" s="12"/>
      <c r="H70" s="16"/>
      <c r="I70" s="17">
        <v>0.0508</v>
      </c>
      <c r="J70" s="18"/>
      <c r="K70" s="18" t="s">
        <v>84</v>
      </c>
      <c r="L70" s="18" t="s">
        <v>62</v>
      </c>
      <c r="M70" s="18" t="s">
        <v>202</v>
      </c>
      <c r="N70" s="18"/>
      <c r="O70" s="18" t="s">
        <v>62</v>
      </c>
      <c r="P70" s="18" t="s">
        <v>86</v>
      </c>
      <c r="Q70" s="18" t="s">
        <v>86</v>
      </c>
      <c r="R70" s="15">
        <f t="shared" si="3"/>
        <v>0</v>
      </c>
      <c r="S70" s="15">
        <v>44.0</v>
      </c>
      <c r="T70" s="15">
        <v>1.0</v>
      </c>
      <c r="U70" s="20">
        <f t="shared" si="4"/>
        <v>0.02272727273</v>
      </c>
      <c r="V70" s="15">
        <f t="shared" si="5"/>
        <v>14</v>
      </c>
      <c r="W70" s="15">
        <v>4.0</v>
      </c>
      <c r="X70" s="20">
        <f t="shared" si="6"/>
        <v>0.09090909091</v>
      </c>
      <c r="Y70" s="15">
        <f t="shared" ref="Y70:Z70" si="144">AE70-W70</f>
        <v>11</v>
      </c>
      <c r="Z70" s="20">
        <f t="shared" si="144"/>
        <v>0.25</v>
      </c>
      <c r="AA70" s="15">
        <v>6.0</v>
      </c>
      <c r="AB70" s="20">
        <f t="shared" si="8"/>
        <v>0.1363636364</v>
      </c>
      <c r="AC70" s="15">
        <f t="shared" ref="AC70:AD70" si="145">AE70-AA70</f>
        <v>9</v>
      </c>
      <c r="AD70" s="20">
        <f t="shared" si="145"/>
        <v>0.2045454545</v>
      </c>
      <c r="AE70" s="15">
        <v>15.0</v>
      </c>
      <c r="AF70" s="20">
        <f t="shared" si="10"/>
        <v>0.3409090909</v>
      </c>
      <c r="AG70" s="15" t="e">
        <v>#N/A</v>
      </c>
      <c r="AH70" s="20" t="str">
        <f t="shared" si="11"/>
        <v>#N/A</v>
      </c>
      <c r="AI70" s="15">
        <v>15.0</v>
      </c>
      <c r="AJ70" s="15">
        <v>0.0</v>
      </c>
      <c r="AK70" s="21">
        <v>0.0</v>
      </c>
      <c r="AL70" s="22">
        <v>0.340909090909091</v>
      </c>
      <c r="AM70" s="15">
        <v>29.0</v>
      </c>
      <c r="AN70" s="15">
        <v>19.0</v>
      </c>
      <c r="AO70" s="23" t="s">
        <v>63</v>
      </c>
      <c r="AP70" s="23" t="s">
        <v>64</v>
      </c>
      <c r="AQ70" s="13" t="s">
        <v>93</v>
      </c>
      <c r="AR70" s="24" t="s">
        <v>66</v>
      </c>
      <c r="AS70" s="24"/>
      <c r="AT70" s="25" t="s">
        <v>317</v>
      </c>
      <c r="AU70" s="26" t="s">
        <v>68</v>
      </c>
      <c r="AV70" s="27"/>
      <c r="AW70" s="24" t="s">
        <v>69</v>
      </c>
      <c r="AX70" s="27"/>
      <c r="AY70" s="29" t="s">
        <v>89</v>
      </c>
      <c r="AZ70" s="33"/>
      <c r="BA70" s="28"/>
      <c r="BB70" s="26" t="s">
        <v>90</v>
      </c>
      <c r="BC70" s="27"/>
      <c r="BD70" s="34" t="s">
        <v>91</v>
      </c>
      <c r="BE70" s="35"/>
      <c r="BF70" s="27"/>
      <c r="BG70" s="27"/>
      <c r="BH70" s="27"/>
    </row>
    <row r="71" ht="14.25" customHeight="1">
      <c r="A71" s="12" t="s">
        <v>318</v>
      </c>
      <c r="B71" s="12"/>
      <c r="C71" s="13"/>
      <c r="D71" s="14"/>
      <c r="E71" s="15"/>
      <c r="F71" s="15"/>
      <c r="G71" s="12"/>
      <c r="H71" s="16"/>
      <c r="I71" s="17">
        <v>0.1042</v>
      </c>
      <c r="J71" s="18"/>
      <c r="K71" s="18"/>
      <c r="L71" s="18" t="s">
        <v>84</v>
      </c>
      <c r="M71" s="18" t="s">
        <v>60</v>
      </c>
      <c r="N71" s="18"/>
      <c r="O71" s="18" t="s">
        <v>60</v>
      </c>
      <c r="P71" s="18" t="s">
        <v>60</v>
      </c>
      <c r="Q71" s="19" t="s">
        <v>60</v>
      </c>
      <c r="R71" s="15">
        <f t="shared" si="3"/>
        <v>0</v>
      </c>
      <c r="S71" s="15">
        <v>38.0</v>
      </c>
      <c r="T71" s="15">
        <v>5.0</v>
      </c>
      <c r="U71" s="20">
        <f t="shared" si="4"/>
        <v>0.1315789474</v>
      </c>
      <c r="V71" s="15">
        <f t="shared" si="5"/>
        <v>8</v>
      </c>
      <c r="W71" s="15">
        <v>13.0</v>
      </c>
      <c r="X71" s="20">
        <f t="shared" si="6"/>
        <v>0.3421052632</v>
      </c>
      <c r="Y71" s="15">
        <f t="shared" ref="Y71:Z71" si="146">AE71-W71</f>
        <v>0</v>
      </c>
      <c r="Z71" s="20">
        <f t="shared" si="146"/>
        <v>0</v>
      </c>
      <c r="AA71" s="15">
        <v>13.0</v>
      </c>
      <c r="AB71" s="20">
        <f t="shared" si="8"/>
        <v>0.3421052632</v>
      </c>
      <c r="AC71" s="15">
        <f t="shared" ref="AC71:AD71" si="147">AE71-AA71</f>
        <v>0</v>
      </c>
      <c r="AD71" s="20">
        <f t="shared" si="147"/>
        <v>0</v>
      </c>
      <c r="AE71" s="15">
        <v>13.0</v>
      </c>
      <c r="AF71" s="20">
        <f t="shared" si="10"/>
        <v>0.3421052632</v>
      </c>
      <c r="AG71" s="15">
        <v>13.0</v>
      </c>
      <c r="AH71" s="20">
        <f t="shared" si="11"/>
        <v>0.3421052632</v>
      </c>
      <c r="AI71" s="15">
        <v>13.0</v>
      </c>
      <c r="AJ71" s="15">
        <v>0.0</v>
      </c>
      <c r="AK71" s="21">
        <v>0.0</v>
      </c>
      <c r="AL71" s="22">
        <v>0.342105263157895</v>
      </c>
      <c r="AM71" s="15">
        <v>0.0</v>
      </c>
      <c r="AN71" s="15">
        <v>25.0</v>
      </c>
      <c r="AO71" s="23" t="s">
        <v>64</v>
      </c>
      <c r="AP71" s="23" t="s">
        <v>64</v>
      </c>
      <c r="AQ71" s="13" t="s">
        <v>93</v>
      </c>
      <c r="AR71" s="24" t="s">
        <v>130</v>
      </c>
      <c r="AS71" s="24"/>
      <c r="AT71" s="25" t="s">
        <v>319</v>
      </c>
      <c r="AU71" s="26" t="s">
        <v>118</v>
      </c>
      <c r="AV71" s="27"/>
      <c r="AW71" s="24" t="s">
        <v>133</v>
      </c>
      <c r="AX71" s="31">
        <v>46000.0</v>
      </c>
      <c r="AY71" s="29" t="s">
        <v>173</v>
      </c>
      <c r="AZ71" s="61"/>
      <c r="BA71" s="28"/>
      <c r="BB71" s="26"/>
      <c r="BC71" s="27"/>
      <c r="BD71" s="24"/>
      <c r="BE71" s="58"/>
      <c r="BF71" s="27"/>
      <c r="BG71" s="27"/>
      <c r="BH71" s="27"/>
    </row>
    <row r="72" ht="14.25" customHeight="1">
      <c r="A72" s="12" t="s">
        <v>320</v>
      </c>
      <c r="B72" s="12"/>
      <c r="C72" s="13"/>
      <c r="D72" s="14"/>
      <c r="E72" s="15"/>
      <c r="F72" s="15"/>
      <c r="G72" s="12"/>
      <c r="H72" s="16"/>
      <c r="I72" s="17">
        <v>1.0</v>
      </c>
      <c r="J72" s="18"/>
      <c r="K72" s="18"/>
      <c r="L72" s="18" t="s">
        <v>270</v>
      </c>
      <c r="M72" s="18" t="s">
        <v>60</v>
      </c>
      <c r="N72" s="18"/>
      <c r="O72" s="18" t="s">
        <v>60</v>
      </c>
      <c r="P72" s="18" t="s">
        <v>60</v>
      </c>
      <c r="Q72" s="19" t="s">
        <v>60</v>
      </c>
      <c r="R72" s="15">
        <f t="shared" si="3"/>
        <v>0</v>
      </c>
      <c r="S72" s="15">
        <v>22.0</v>
      </c>
      <c r="T72" s="15">
        <v>22.0</v>
      </c>
      <c r="U72" s="20">
        <f t="shared" si="4"/>
        <v>1</v>
      </c>
      <c r="V72" s="15">
        <f t="shared" si="5"/>
        <v>0</v>
      </c>
      <c r="W72" s="15">
        <v>22.0</v>
      </c>
      <c r="X72" s="20">
        <f t="shared" si="6"/>
        <v>1</v>
      </c>
      <c r="Y72" s="15">
        <f t="shared" ref="Y72:Z72" si="148">AE72-W72</f>
        <v>0</v>
      </c>
      <c r="Z72" s="20">
        <f t="shared" si="148"/>
        <v>0</v>
      </c>
      <c r="AA72" s="15">
        <v>22.0</v>
      </c>
      <c r="AB72" s="20">
        <f t="shared" si="8"/>
        <v>1</v>
      </c>
      <c r="AC72" s="15">
        <f t="shared" ref="AC72:AD72" si="149">AE72-AA72</f>
        <v>0</v>
      </c>
      <c r="AD72" s="20">
        <f t="shared" si="149"/>
        <v>0</v>
      </c>
      <c r="AE72" s="15">
        <v>22.0</v>
      </c>
      <c r="AF72" s="20">
        <f t="shared" si="10"/>
        <v>1</v>
      </c>
      <c r="AG72" s="15">
        <v>22.0</v>
      </c>
      <c r="AH72" s="20">
        <f t="shared" si="11"/>
        <v>1</v>
      </c>
      <c r="AI72" s="15">
        <v>22.0</v>
      </c>
      <c r="AJ72" s="15">
        <v>0.0</v>
      </c>
      <c r="AK72" s="21">
        <v>0.0</v>
      </c>
      <c r="AL72" s="22">
        <v>1.0</v>
      </c>
      <c r="AM72" s="15">
        <v>0.0</v>
      </c>
      <c r="AN72" s="15">
        <v>0.0</v>
      </c>
      <c r="AO72" s="23" t="s">
        <v>63</v>
      </c>
      <c r="AP72" s="23" t="s">
        <v>64</v>
      </c>
      <c r="AQ72" s="13" t="s">
        <v>93</v>
      </c>
      <c r="AR72" s="24" t="s">
        <v>66</v>
      </c>
      <c r="AS72" s="24"/>
      <c r="AT72" s="25" t="s">
        <v>321</v>
      </c>
      <c r="AU72" s="26" t="s">
        <v>68</v>
      </c>
      <c r="AV72" s="27"/>
      <c r="AW72" s="24" t="s">
        <v>79</v>
      </c>
      <c r="AX72" s="28"/>
      <c r="AY72" s="29" t="s">
        <v>173</v>
      </c>
      <c r="AZ72" s="33"/>
      <c r="BA72" s="28"/>
      <c r="BB72" s="26" t="s">
        <v>90</v>
      </c>
      <c r="BC72" s="27"/>
      <c r="BD72" s="24" t="s">
        <v>91</v>
      </c>
      <c r="BE72" s="72"/>
      <c r="BF72" s="27"/>
      <c r="BG72" s="27"/>
      <c r="BH72" s="27"/>
    </row>
    <row r="73" ht="14.25" customHeight="1">
      <c r="A73" s="12" t="s">
        <v>322</v>
      </c>
      <c r="B73" s="12"/>
      <c r="C73" s="13"/>
      <c r="D73" s="14"/>
      <c r="E73" s="15"/>
      <c r="F73" s="15"/>
      <c r="G73" s="12"/>
      <c r="H73" s="16"/>
      <c r="I73" s="17">
        <v>1.0</v>
      </c>
      <c r="J73" s="18"/>
      <c r="K73" s="18"/>
      <c r="L73" s="18" t="s">
        <v>270</v>
      </c>
      <c r="M73" s="18" t="s">
        <v>60</v>
      </c>
      <c r="N73" s="18"/>
      <c r="O73" s="18" t="s">
        <v>60</v>
      </c>
      <c r="P73" s="18" t="s">
        <v>60</v>
      </c>
      <c r="Q73" s="19" t="s">
        <v>60</v>
      </c>
      <c r="R73" s="15">
        <f t="shared" si="3"/>
        <v>0</v>
      </c>
      <c r="S73" s="15">
        <v>21.0</v>
      </c>
      <c r="T73" s="15">
        <v>21.0</v>
      </c>
      <c r="U73" s="20">
        <f t="shared" si="4"/>
        <v>1</v>
      </c>
      <c r="V73" s="15">
        <f t="shared" si="5"/>
        <v>0</v>
      </c>
      <c r="W73" s="15">
        <v>21.0</v>
      </c>
      <c r="X73" s="20">
        <f t="shared" si="6"/>
        <v>1</v>
      </c>
      <c r="Y73" s="15">
        <f t="shared" ref="Y73:Z73" si="150">AE73-W73</f>
        <v>0</v>
      </c>
      <c r="Z73" s="20">
        <f t="shared" si="150"/>
        <v>0</v>
      </c>
      <c r="AA73" s="15">
        <v>21.0</v>
      </c>
      <c r="AB73" s="20">
        <f t="shared" si="8"/>
        <v>1</v>
      </c>
      <c r="AC73" s="15">
        <f t="shared" ref="AC73:AD73" si="151">AE73-AA73</f>
        <v>0</v>
      </c>
      <c r="AD73" s="20">
        <f t="shared" si="151"/>
        <v>0</v>
      </c>
      <c r="AE73" s="15">
        <v>21.0</v>
      </c>
      <c r="AF73" s="20">
        <f t="shared" si="10"/>
        <v>1</v>
      </c>
      <c r="AG73" s="15">
        <v>21.0</v>
      </c>
      <c r="AH73" s="20">
        <f t="shared" si="11"/>
        <v>1</v>
      </c>
      <c r="AI73" s="15">
        <v>21.0</v>
      </c>
      <c r="AJ73" s="15">
        <v>0.0</v>
      </c>
      <c r="AK73" s="21">
        <v>0.0</v>
      </c>
      <c r="AL73" s="22">
        <v>1.0</v>
      </c>
      <c r="AM73" s="15">
        <v>0.0</v>
      </c>
      <c r="AN73" s="15">
        <v>0.0</v>
      </c>
      <c r="AO73" s="23" t="s">
        <v>63</v>
      </c>
      <c r="AP73" s="23" t="s">
        <v>64</v>
      </c>
      <c r="AQ73" s="13" t="s">
        <v>108</v>
      </c>
      <c r="AR73" s="24" t="s">
        <v>66</v>
      </c>
      <c r="AS73" s="24"/>
      <c r="AT73" s="25" t="s">
        <v>323</v>
      </c>
      <c r="AU73" s="26" t="s">
        <v>68</v>
      </c>
      <c r="AV73" s="36"/>
      <c r="AW73" s="24" t="s">
        <v>79</v>
      </c>
      <c r="AX73" s="28"/>
      <c r="AY73" s="29" t="s">
        <v>173</v>
      </c>
      <c r="AZ73" s="37"/>
      <c r="BA73" s="28"/>
      <c r="BB73" s="26" t="s">
        <v>90</v>
      </c>
      <c r="BC73" s="27"/>
      <c r="BD73" s="24" t="s">
        <v>91</v>
      </c>
      <c r="BE73" s="58"/>
      <c r="BF73" s="27"/>
      <c r="BG73" s="27"/>
      <c r="BH73" s="27"/>
    </row>
    <row r="74" ht="14.25" customHeight="1">
      <c r="A74" s="12" t="s">
        <v>324</v>
      </c>
      <c r="B74" s="12"/>
      <c r="C74" s="59"/>
      <c r="D74" s="14"/>
      <c r="E74" s="15"/>
      <c r="F74" s="15"/>
      <c r="G74" s="12"/>
      <c r="H74" s="16"/>
      <c r="I74" s="41">
        <v>0.0</v>
      </c>
      <c r="J74" s="19"/>
      <c r="K74" s="18"/>
      <c r="L74" s="18" t="s">
        <v>84</v>
      </c>
      <c r="M74" s="19" t="s">
        <v>84</v>
      </c>
      <c r="N74" s="19"/>
      <c r="O74" s="19" t="s">
        <v>62</v>
      </c>
      <c r="P74" s="19" t="s">
        <v>62</v>
      </c>
      <c r="Q74" s="19" t="s">
        <v>62</v>
      </c>
      <c r="R74" s="15">
        <f t="shared" si="3"/>
        <v>0</v>
      </c>
      <c r="S74" s="15">
        <v>32.0</v>
      </c>
      <c r="T74" s="15">
        <v>0.0</v>
      </c>
      <c r="U74" s="20">
        <f t="shared" si="4"/>
        <v>0</v>
      </c>
      <c r="V74" s="15">
        <f t="shared" si="5"/>
        <v>32</v>
      </c>
      <c r="W74" s="15">
        <v>4.0</v>
      </c>
      <c r="X74" s="20">
        <f t="shared" si="6"/>
        <v>0.125</v>
      </c>
      <c r="Y74" s="15">
        <f t="shared" ref="Y74:Z74" si="152">AE74-W74</f>
        <v>28</v>
      </c>
      <c r="Z74" s="20">
        <f t="shared" si="152"/>
        <v>0.875</v>
      </c>
      <c r="AA74" s="15">
        <v>4.0</v>
      </c>
      <c r="AB74" s="20">
        <f t="shared" si="8"/>
        <v>0.125</v>
      </c>
      <c r="AC74" s="15">
        <f t="shared" ref="AC74:AD74" si="153">AE74-AA74</f>
        <v>28</v>
      </c>
      <c r="AD74" s="20">
        <f t="shared" si="153"/>
        <v>0.875</v>
      </c>
      <c r="AE74" s="15">
        <v>32.0</v>
      </c>
      <c r="AF74" s="20">
        <f t="shared" si="10"/>
        <v>1</v>
      </c>
      <c r="AG74" s="15">
        <v>32.0</v>
      </c>
      <c r="AH74" s="20">
        <f t="shared" si="11"/>
        <v>1</v>
      </c>
      <c r="AI74" s="15">
        <v>32.0</v>
      </c>
      <c r="AJ74" s="15">
        <v>0.0</v>
      </c>
      <c r="AK74" s="21">
        <v>0.0</v>
      </c>
      <c r="AL74" s="22">
        <v>1.0</v>
      </c>
      <c r="AM74" s="15">
        <v>0.0</v>
      </c>
      <c r="AN74" s="15">
        <v>0.0</v>
      </c>
      <c r="AO74" s="23" t="s">
        <v>64</v>
      </c>
      <c r="AP74" s="23" t="s">
        <v>64</v>
      </c>
      <c r="AQ74" s="13" t="s">
        <v>77</v>
      </c>
      <c r="AR74" s="24" t="s">
        <v>66</v>
      </c>
      <c r="AS74" s="24"/>
      <c r="AT74" s="25" t="s">
        <v>325</v>
      </c>
      <c r="AU74" s="26" t="s">
        <v>68</v>
      </c>
      <c r="AV74" s="27"/>
      <c r="AW74" s="24" t="s">
        <v>69</v>
      </c>
      <c r="AX74" s="27"/>
      <c r="AY74" s="29" t="s">
        <v>89</v>
      </c>
      <c r="AZ74" s="33"/>
      <c r="BA74" s="28"/>
      <c r="BB74" s="26" t="s">
        <v>90</v>
      </c>
      <c r="BC74" s="27"/>
      <c r="BD74" s="34" t="s">
        <v>91</v>
      </c>
      <c r="BE74" s="35"/>
      <c r="BF74" s="27"/>
      <c r="BG74" s="27"/>
      <c r="BH74" s="27"/>
    </row>
    <row r="75" ht="14.25" customHeight="1">
      <c r="A75" s="12" t="s">
        <v>326</v>
      </c>
      <c r="B75" s="12"/>
      <c r="C75" s="13"/>
      <c r="D75" s="14"/>
      <c r="E75" s="15"/>
      <c r="F75" s="15"/>
      <c r="G75" s="12"/>
      <c r="H75" s="16"/>
      <c r="I75" s="17">
        <v>0.325</v>
      </c>
      <c r="J75" s="18"/>
      <c r="K75" s="18" t="s">
        <v>84</v>
      </c>
      <c r="L75" s="18" t="s">
        <v>62</v>
      </c>
      <c r="M75" s="18" t="s">
        <v>202</v>
      </c>
      <c r="N75" s="18"/>
      <c r="O75" s="18" t="s">
        <v>62</v>
      </c>
      <c r="P75" s="18" t="s">
        <v>62</v>
      </c>
      <c r="Q75" s="18" t="s">
        <v>62</v>
      </c>
      <c r="R75" s="15">
        <f t="shared" si="3"/>
        <v>0</v>
      </c>
      <c r="S75" s="15">
        <v>36.0</v>
      </c>
      <c r="T75" s="15">
        <v>9.0</v>
      </c>
      <c r="U75" s="20">
        <f t="shared" si="4"/>
        <v>0.25</v>
      </c>
      <c r="V75" s="15">
        <f t="shared" si="5"/>
        <v>6</v>
      </c>
      <c r="W75" s="15">
        <v>9.0</v>
      </c>
      <c r="X75" s="20">
        <f t="shared" si="6"/>
        <v>0.25</v>
      </c>
      <c r="Y75" s="15">
        <f t="shared" ref="Y75:Z75" si="154">AE75-W75</f>
        <v>6</v>
      </c>
      <c r="Z75" s="20">
        <f t="shared" si="154"/>
        <v>0.1666666667</v>
      </c>
      <c r="AA75" s="15">
        <v>9.0</v>
      </c>
      <c r="AB75" s="20">
        <f t="shared" si="8"/>
        <v>0.25</v>
      </c>
      <c r="AC75" s="15">
        <f t="shared" ref="AC75:AD75" si="155">AE75-AA75</f>
        <v>6</v>
      </c>
      <c r="AD75" s="20">
        <f t="shared" si="155"/>
        <v>0.1666666667</v>
      </c>
      <c r="AE75" s="15">
        <v>15.0</v>
      </c>
      <c r="AF75" s="20">
        <f t="shared" si="10"/>
        <v>0.4166666667</v>
      </c>
      <c r="AG75" s="15">
        <v>15.0</v>
      </c>
      <c r="AH75" s="20">
        <f t="shared" si="11"/>
        <v>0.4166666667</v>
      </c>
      <c r="AI75" s="15">
        <v>15.0</v>
      </c>
      <c r="AJ75" s="15">
        <v>0.0</v>
      </c>
      <c r="AK75" s="21">
        <v>0.0</v>
      </c>
      <c r="AL75" s="22">
        <v>0.416666666666667</v>
      </c>
      <c r="AM75" s="15">
        <v>14.0</v>
      </c>
      <c r="AN75" s="15">
        <v>7.0</v>
      </c>
      <c r="AO75" s="23" t="s">
        <v>63</v>
      </c>
      <c r="AP75" s="23" t="s">
        <v>64</v>
      </c>
      <c r="AQ75" s="13" t="s">
        <v>108</v>
      </c>
      <c r="AR75" s="24" t="s">
        <v>66</v>
      </c>
      <c r="AS75" s="24"/>
      <c r="AT75" s="25" t="s">
        <v>327</v>
      </c>
      <c r="AU75" s="26" t="s">
        <v>68</v>
      </c>
      <c r="AV75" s="27"/>
      <c r="AW75" s="24" t="s">
        <v>69</v>
      </c>
      <c r="AX75" s="114">
        <v>45976.0</v>
      </c>
      <c r="AY75" s="29" t="s">
        <v>245</v>
      </c>
      <c r="AZ75" s="24"/>
      <c r="BA75" s="25" t="s">
        <v>328</v>
      </c>
      <c r="BB75" s="26" t="s">
        <v>72</v>
      </c>
      <c r="BC75" s="27"/>
      <c r="BD75" s="34" t="s">
        <v>91</v>
      </c>
      <c r="BE75" s="38"/>
      <c r="BF75" s="27"/>
      <c r="BG75" s="27"/>
      <c r="BH75" s="27"/>
    </row>
    <row r="76" ht="14.25" customHeight="1">
      <c r="A76" s="12" t="s">
        <v>329</v>
      </c>
      <c r="B76" s="12"/>
      <c r="C76" s="13"/>
      <c r="D76" s="14"/>
      <c r="E76" s="15"/>
      <c r="F76" s="15"/>
      <c r="G76" s="12"/>
      <c r="H76" s="16"/>
      <c r="I76" s="17">
        <v>0.0417</v>
      </c>
      <c r="J76" s="18"/>
      <c r="K76" s="18" t="s">
        <v>98</v>
      </c>
      <c r="L76" s="18" t="s">
        <v>85</v>
      </c>
      <c r="M76" s="18" t="s">
        <v>62</v>
      </c>
      <c r="N76" s="18"/>
      <c r="O76" s="18" t="s">
        <v>62</v>
      </c>
      <c r="P76" s="18" t="s">
        <v>86</v>
      </c>
      <c r="Q76" s="18" t="s">
        <v>86</v>
      </c>
      <c r="R76" s="15">
        <f t="shared" si="3"/>
        <v>0</v>
      </c>
      <c r="S76" s="15">
        <v>168.0</v>
      </c>
      <c r="T76" s="15">
        <v>8.0</v>
      </c>
      <c r="U76" s="20">
        <f t="shared" si="4"/>
        <v>0.04761904762</v>
      </c>
      <c r="V76" s="15">
        <f t="shared" si="5"/>
        <v>66</v>
      </c>
      <c r="W76" s="15">
        <v>29.0</v>
      </c>
      <c r="X76" s="20">
        <f t="shared" si="6"/>
        <v>0.1726190476</v>
      </c>
      <c r="Y76" s="15">
        <f t="shared" ref="Y76:Z76" si="156">AE76-W76</f>
        <v>45</v>
      </c>
      <c r="Z76" s="20">
        <f t="shared" si="156"/>
        <v>0.2678571429</v>
      </c>
      <c r="AA76" s="15">
        <v>30.0</v>
      </c>
      <c r="AB76" s="20">
        <f t="shared" si="8"/>
        <v>0.1785714286</v>
      </c>
      <c r="AC76" s="15">
        <f t="shared" ref="AC76:AD76" si="157">AE76-AA76</f>
        <v>44</v>
      </c>
      <c r="AD76" s="20">
        <f t="shared" si="157"/>
        <v>0.2619047619</v>
      </c>
      <c r="AE76" s="15">
        <v>74.0</v>
      </c>
      <c r="AF76" s="20">
        <f t="shared" si="10"/>
        <v>0.4404761905</v>
      </c>
      <c r="AG76" s="15">
        <v>74.0</v>
      </c>
      <c r="AH76" s="20">
        <f t="shared" si="11"/>
        <v>0.4404761905</v>
      </c>
      <c r="AI76" s="15">
        <v>74.0</v>
      </c>
      <c r="AJ76" s="15">
        <v>0.0</v>
      </c>
      <c r="AK76" s="21">
        <v>0.0</v>
      </c>
      <c r="AL76" s="22">
        <v>0.44047619047619</v>
      </c>
      <c r="AM76" s="15">
        <v>94.0</v>
      </c>
      <c r="AN76" s="15">
        <v>94.0</v>
      </c>
      <c r="AO76" s="23" t="s">
        <v>64</v>
      </c>
      <c r="AP76" s="23" t="s">
        <v>64</v>
      </c>
      <c r="AQ76" s="13" t="s">
        <v>93</v>
      </c>
      <c r="AR76" s="24" t="s">
        <v>66</v>
      </c>
      <c r="AS76" s="24"/>
      <c r="AT76" s="25" t="s">
        <v>330</v>
      </c>
      <c r="AU76" s="26" t="s">
        <v>68</v>
      </c>
      <c r="AV76" s="27"/>
      <c r="AW76" s="24" t="s">
        <v>79</v>
      </c>
      <c r="AX76" s="28"/>
      <c r="AY76" s="29" t="s">
        <v>110</v>
      </c>
      <c r="AZ76" s="30"/>
      <c r="BA76" s="25" t="s">
        <v>331</v>
      </c>
      <c r="BB76" s="26" t="s">
        <v>72</v>
      </c>
      <c r="BC76" s="27"/>
      <c r="BD76" s="24" t="s">
        <v>96</v>
      </c>
      <c r="BE76" s="27"/>
      <c r="BF76" s="27"/>
      <c r="BG76" s="27"/>
      <c r="BH76" s="27"/>
    </row>
    <row r="77" ht="14.25" customHeight="1">
      <c r="A77" s="12" t="s">
        <v>332</v>
      </c>
      <c r="B77" s="12"/>
      <c r="C77" s="13"/>
      <c r="D77" s="14"/>
      <c r="E77" s="15"/>
      <c r="F77" s="15"/>
      <c r="G77" s="12"/>
      <c r="H77" s="16"/>
      <c r="I77" s="17">
        <v>0.0667</v>
      </c>
      <c r="J77" s="18"/>
      <c r="K77" s="18" t="s">
        <v>84</v>
      </c>
      <c r="L77" s="18" t="s">
        <v>62</v>
      </c>
      <c r="M77" s="18" t="s">
        <v>62</v>
      </c>
      <c r="N77" s="18"/>
      <c r="O77" s="18" t="s">
        <v>60</v>
      </c>
      <c r="P77" s="18" t="s">
        <v>60</v>
      </c>
      <c r="Q77" s="19" t="s">
        <v>60</v>
      </c>
      <c r="R77" s="15">
        <f t="shared" si="3"/>
        <v>0</v>
      </c>
      <c r="S77" s="15">
        <v>15.0</v>
      </c>
      <c r="T77" s="15">
        <v>1.0</v>
      </c>
      <c r="U77" s="20">
        <f t="shared" si="4"/>
        <v>0.06666666667</v>
      </c>
      <c r="V77" s="15">
        <f t="shared" si="5"/>
        <v>14</v>
      </c>
      <c r="W77" s="15">
        <v>15.0</v>
      </c>
      <c r="X77" s="20">
        <f t="shared" si="6"/>
        <v>1</v>
      </c>
      <c r="Y77" s="15">
        <f t="shared" ref="Y77:Z77" si="158">AE77-W77</f>
        <v>0</v>
      </c>
      <c r="Z77" s="20">
        <f t="shared" si="158"/>
        <v>0</v>
      </c>
      <c r="AA77" s="15">
        <v>15.0</v>
      </c>
      <c r="AB77" s="20">
        <f t="shared" si="8"/>
        <v>1</v>
      </c>
      <c r="AC77" s="15">
        <f t="shared" ref="AC77:AD77" si="159">AE77-AA77</f>
        <v>0</v>
      </c>
      <c r="AD77" s="20">
        <f t="shared" si="159"/>
        <v>0</v>
      </c>
      <c r="AE77" s="15">
        <v>15.0</v>
      </c>
      <c r="AF77" s="20">
        <f t="shared" si="10"/>
        <v>1</v>
      </c>
      <c r="AG77" s="15">
        <v>15.0</v>
      </c>
      <c r="AH77" s="20">
        <f t="shared" si="11"/>
        <v>1</v>
      </c>
      <c r="AI77" s="15">
        <v>15.0</v>
      </c>
      <c r="AJ77" s="15">
        <v>0.0</v>
      </c>
      <c r="AK77" s="21">
        <v>0.0</v>
      </c>
      <c r="AL77" s="22">
        <v>1.0</v>
      </c>
      <c r="AM77" s="15">
        <v>0.0</v>
      </c>
      <c r="AN77" s="15">
        <v>0.0</v>
      </c>
      <c r="AO77" s="23" t="s">
        <v>63</v>
      </c>
      <c r="AP77" s="23" t="s">
        <v>64</v>
      </c>
      <c r="AQ77" s="13" t="s">
        <v>108</v>
      </c>
      <c r="AR77" s="24" t="s">
        <v>66</v>
      </c>
      <c r="AS77" s="24"/>
      <c r="AT77" s="25" t="s">
        <v>333</v>
      </c>
      <c r="AU77" s="26" t="s">
        <v>88</v>
      </c>
      <c r="AV77" s="36"/>
      <c r="AW77" s="24" t="s">
        <v>69</v>
      </c>
      <c r="AX77" s="27"/>
      <c r="AY77" s="29" t="s">
        <v>173</v>
      </c>
      <c r="AZ77" s="37"/>
      <c r="BA77" s="28"/>
      <c r="BB77" s="26" t="s">
        <v>90</v>
      </c>
      <c r="BC77" s="27"/>
      <c r="BD77" s="24" t="s">
        <v>91</v>
      </c>
      <c r="BE77" s="58"/>
      <c r="BF77" s="27"/>
      <c r="BG77" s="27"/>
      <c r="BH77" s="27"/>
    </row>
    <row r="78" ht="14.25" customHeight="1">
      <c r="A78" s="12" t="s">
        <v>334</v>
      </c>
      <c r="B78" s="12"/>
      <c r="C78" s="13"/>
      <c r="D78" s="14"/>
      <c r="E78" s="15"/>
      <c r="F78" s="15"/>
      <c r="G78" s="12"/>
      <c r="H78" s="16"/>
      <c r="I78" s="17">
        <v>0.0</v>
      </c>
      <c r="J78" s="18"/>
      <c r="K78" s="18"/>
      <c r="L78" s="18" t="s">
        <v>84</v>
      </c>
      <c r="M78" s="18" t="s">
        <v>62</v>
      </c>
      <c r="N78" s="18"/>
      <c r="O78" s="18" t="s">
        <v>62</v>
      </c>
      <c r="P78" s="18" t="s">
        <v>60</v>
      </c>
      <c r="Q78" s="19" t="s">
        <v>60</v>
      </c>
      <c r="R78" s="15">
        <f t="shared" si="3"/>
        <v>0</v>
      </c>
      <c r="S78" s="15">
        <v>67.0</v>
      </c>
      <c r="T78" s="15">
        <v>0.0</v>
      </c>
      <c r="U78" s="20">
        <f t="shared" si="4"/>
        <v>0</v>
      </c>
      <c r="V78" s="15">
        <f t="shared" si="5"/>
        <v>24</v>
      </c>
      <c r="W78" s="15">
        <v>5.0</v>
      </c>
      <c r="X78" s="20">
        <f t="shared" si="6"/>
        <v>0.07462686567</v>
      </c>
      <c r="Y78" s="15">
        <f t="shared" ref="Y78:Z78" si="160">AE78-W78</f>
        <v>19</v>
      </c>
      <c r="Z78" s="20">
        <f t="shared" si="160"/>
        <v>0.2835820896</v>
      </c>
      <c r="AA78" s="15">
        <v>24.0</v>
      </c>
      <c r="AB78" s="20">
        <f t="shared" si="8"/>
        <v>0.3582089552</v>
      </c>
      <c r="AC78" s="15">
        <f t="shared" ref="AC78:AD78" si="161">AE78-AA78</f>
        <v>0</v>
      </c>
      <c r="AD78" s="20">
        <f t="shared" si="161"/>
        <v>0</v>
      </c>
      <c r="AE78" s="15">
        <v>24.0</v>
      </c>
      <c r="AF78" s="20">
        <f t="shared" si="10"/>
        <v>0.3582089552</v>
      </c>
      <c r="AG78" s="15">
        <v>24.0</v>
      </c>
      <c r="AH78" s="20">
        <f t="shared" si="11"/>
        <v>0.3582089552</v>
      </c>
      <c r="AI78" s="15">
        <v>24.0</v>
      </c>
      <c r="AJ78" s="15">
        <v>0.0</v>
      </c>
      <c r="AK78" s="21">
        <v>0.0</v>
      </c>
      <c r="AL78" s="22">
        <v>0.358208955223881</v>
      </c>
      <c r="AM78" s="15">
        <v>0.0</v>
      </c>
      <c r="AN78" s="15">
        <v>43.0</v>
      </c>
      <c r="AO78" s="23" t="s">
        <v>63</v>
      </c>
      <c r="AP78" s="23" t="s">
        <v>64</v>
      </c>
      <c r="AQ78" s="13" t="s">
        <v>93</v>
      </c>
      <c r="AR78" s="24" t="s">
        <v>130</v>
      </c>
      <c r="AS78" s="24"/>
      <c r="AT78" s="25" t="s">
        <v>335</v>
      </c>
      <c r="AU78" s="26" t="s">
        <v>68</v>
      </c>
      <c r="AV78" s="27"/>
      <c r="AW78" s="24" t="s">
        <v>69</v>
      </c>
      <c r="AX78" s="27"/>
      <c r="AY78" s="29" t="s">
        <v>89</v>
      </c>
      <c r="AZ78" s="33"/>
      <c r="BA78" s="28"/>
      <c r="BB78" s="26" t="s">
        <v>90</v>
      </c>
      <c r="BC78" s="27"/>
      <c r="BD78" s="34" t="s">
        <v>91</v>
      </c>
      <c r="BE78" s="35"/>
      <c r="BF78" s="27"/>
      <c r="BG78" s="27"/>
      <c r="BH78" s="27"/>
    </row>
    <row r="79" ht="14.25" customHeight="1">
      <c r="A79" s="12" t="s">
        <v>336</v>
      </c>
      <c r="B79" s="12"/>
      <c r="C79" s="59"/>
      <c r="D79" s="14"/>
      <c r="E79" s="15"/>
      <c r="F79" s="15"/>
      <c r="G79" s="12"/>
      <c r="H79" s="16"/>
      <c r="I79" s="17">
        <v>0.1087</v>
      </c>
      <c r="J79" s="18"/>
      <c r="K79" s="18"/>
      <c r="L79" s="18" t="s">
        <v>129</v>
      </c>
      <c r="M79" s="18" t="s">
        <v>264</v>
      </c>
      <c r="N79" s="18"/>
      <c r="O79" s="18" t="s">
        <v>84</v>
      </c>
      <c r="P79" s="18" t="s">
        <v>84</v>
      </c>
      <c r="Q79" s="19" t="s">
        <v>129</v>
      </c>
      <c r="R79" s="15">
        <f t="shared" si="3"/>
        <v>0</v>
      </c>
      <c r="S79" s="15">
        <v>44.0</v>
      </c>
      <c r="T79" s="15">
        <v>0.0</v>
      </c>
      <c r="U79" s="20">
        <f t="shared" si="4"/>
        <v>0</v>
      </c>
      <c r="V79" s="15">
        <f t="shared" si="5"/>
        <v>36</v>
      </c>
      <c r="W79" s="15">
        <v>0.0</v>
      </c>
      <c r="X79" s="20">
        <f t="shared" si="6"/>
        <v>0</v>
      </c>
      <c r="Y79" s="15">
        <f t="shared" ref="Y79:Z79" si="162">AE79-W79</f>
        <v>36</v>
      </c>
      <c r="Z79" s="20">
        <f t="shared" si="162"/>
        <v>0.8181818182</v>
      </c>
      <c r="AA79" s="15">
        <v>0.0</v>
      </c>
      <c r="AB79" s="20">
        <f t="shared" si="8"/>
        <v>0</v>
      </c>
      <c r="AC79" s="15">
        <f t="shared" ref="AC79:AD79" si="163">AE79-AA79</f>
        <v>36</v>
      </c>
      <c r="AD79" s="20">
        <f t="shared" si="163"/>
        <v>0.8181818182</v>
      </c>
      <c r="AE79" s="15">
        <v>36.0</v>
      </c>
      <c r="AF79" s="20">
        <f t="shared" si="10"/>
        <v>0.8181818182</v>
      </c>
      <c r="AG79" s="15">
        <v>36.0</v>
      </c>
      <c r="AH79" s="20">
        <f t="shared" si="11"/>
        <v>0.8181818182</v>
      </c>
      <c r="AI79" s="15">
        <v>36.0</v>
      </c>
      <c r="AJ79" s="15">
        <v>0.0</v>
      </c>
      <c r="AK79" s="21">
        <v>0.0</v>
      </c>
      <c r="AL79" s="22">
        <v>0.818181818181818</v>
      </c>
      <c r="AM79" s="15">
        <v>8.0</v>
      </c>
      <c r="AN79" s="15">
        <v>8.0</v>
      </c>
      <c r="AO79" s="23" t="s">
        <v>64</v>
      </c>
      <c r="AP79" s="23" t="s">
        <v>64</v>
      </c>
      <c r="AQ79" s="13" t="s">
        <v>77</v>
      </c>
      <c r="AR79" s="24" t="s">
        <v>66</v>
      </c>
      <c r="AS79" s="24"/>
      <c r="AT79" s="25" t="s">
        <v>337</v>
      </c>
      <c r="AU79" s="26" t="s">
        <v>68</v>
      </c>
      <c r="AV79" s="27"/>
      <c r="AW79" s="24" t="s">
        <v>69</v>
      </c>
      <c r="AX79" s="27"/>
      <c r="AY79" s="29" t="s">
        <v>89</v>
      </c>
      <c r="AZ79" s="37"/>
      <c r="BA79" s="28"/>
      <c r="BB79" s="26" t="s">
        <v>90</v>
      </c>
      <c r="BC79" s="27"/>
      <c r="BD79" s="34" t="s">
        <v>91</v>
      </c>
      <c r="BE79" s="38"/>
      <c r="BF79" s="27"/>
      <c r="BG79" s="27"/>
      <c r="BH79" s="27"/>
    </row>
    <row r="80" ht="14.25" customHeight="1">
      <c r="A80" s="12" t="s">
        <v>338</v>
      </c>
      <c r="B80" s="12"/>
      <c r="C80" s="13"/>
      <c r="D80" s="14"/>
      <c r="E80" s="15"/>
      <c r="F80" s="19"/>
      <c r="G80" s="39"/>
      <c r="H80" s="18"/>
      <c r="I80" s="17">
        <v>0.0</v>
      </c>
      <c r="J80" s="18"/>
      <c r="K80" s="18"/>
      <c r="L80" s="18" t="s">
        <v>84</v>
      </c>
      <c r="M80" s="18" t="s">
        <v>84</v>
      </c>
      <c r="N80" s="18"/>
      <c r="O80" s="18" t="s">
        <v>84</v>
      </c>
      <c r="P80" s="18" t="s">
        <v>86</v>
      </c>
      <c r="Q80" s="19" t="s">
        <v>60</v>
      </c>
      <c r="R80" s="15">
        <f t="shared" si="3"/>
        <v>0</v>
      </c>
      <c r="S80" s="15">
        <v>195.0</v>
      </c>
      <c r="T80" s="15">
        <v>0.0</v>
      </c>
      <c r="U80" s="20">
        <f t="shared" si="4"/>
        <v>0</v>
      </c>
      <c r="V80" s="15">
        <f t="shared" si="5"/>
        <v>145</v>
      </c>
      <c r="W80" s="15">
        <v>0.0</v>
      </c>
      <c r="X80" s="20">
        <f t="shared" si="6"/>
        <v>0</v>
      </c>
      <c r="Y80" s="15">
        <f t="shared" ref="Y80:Z80" si="164">AE80-W80</f>
        <v>145</v>
      </c>
      <c r="Z80" s="20">
        <f t="shared" si="164"/>
        <v>0.7435897436</v>
      </c>
      <c r="AA80" s="15">
        <v>145.0</v>
      </c>
      <c r="AB80" s="20">
        <f t="shared" si="8"/>
        <v>0.7435897436</v>
      </c>
      <c r="AC80" s="15">
        <f t="shared" ref="AC80:AD80" si="165">AE80-AA80</f>
        <v>0</v>
      </c>
      <c r="AD80" s="20">
        <f t="shared" si="165"/>
        <v>0</v>
      </c>
      <c r="AE80" s="15">
        <v>145.0</v>
      </c>
      <c r="AF80" s="20">
        <f t="shared" si="10"/>
        <v>0.7435897436</v>
      </c>
      <c r="AG80" s="15">
        <v>145.0</v>
      </c>
      <c r="AH80" s="20">
        <f t="shared" si="11"/>
        <v>0.7435897436</v>
      </c>
      <c r="AI80" s="15">
        <v>145.0</v>
      </c>
      <c r="AJ80" s="15">
        <v>0.0</v>
      </c>
      <c r="AK80" s="21">
        <v>0.0</v>
      </c>
      <c r="AL80" s="22">
        <v>0.743589743589744</v>
      </c>
      <c r="AM80" s="15">
        <v>50.0</v>
      </c>
      <c r="AN80" s="15">
        <v>50.0</v>
      </c>
      <c r="AO80" s="23" t="s">
        <v>64</v>
      </c>
      <c r="AP80" s="23" t="s">
        <v>64</v>
      </c>
      <c r="AQ80" s="13" t="s">
        <v>104</v>
      </c>
      <c r="AR80" s="24" t="s">
        <v>66</v>
      </c>
      <c r="AS80" s="24"/>
      <c r="AT80" s="25" t="s">
        <v>339</v>
      </c>
      <c r="AU80" s="26" t="s">
        <v>68</v>
      </c>
      <c r="AV80" s="27"/>
      <c r="AW80" s="24" t="s">
        <v>79</v>
      </c>
      <c r="AX80" s="28"/>
      <c r="AY80" s="29" t="s">
        <v>89</v>
      </c>
      <c r="AZ80" s="33"/>
      <c r="BA80" s="28"/>
      <c r="BB80" s="26" t="s">
        <v>90</v>
      </c>
      <c r="BC80" s="27"/>
      <c r="BD80" s="34" t="s">
        <v>91</v>
      </c>
      <c r="BE80" s="35"/>
      <c r="BF80" s="27"/>
      <c r="BG80" s="27"/>
      <c r="BH80" s="27"/>
    </row>
    <row r="81" ht="14.25" customHeight="1">
      <c r="A81" s="12" t="s">
        <v>340</v>
      </c>
      <c r="B81" s="12"/>
      <c r="C81" s="13"/>
      <c r="D81" s="14"/>
      <c r="E81" s="15"/>
      <c r="F81" s="15"/>
      <c r="G81" s="12"/>
      <c r="H81" s="16"/>
      <c r="I81" s="17">
        <v>1.0</v>
      </c>
      <c r="J81" s="18"/>
      <c r="K81" s="18" t="s">
        <v>341</v>
      </c>
      <c r="L81" s="18" t="s">
        <v>61</v>
      </c>
      <c r="M81" s="18" t="s">
        <v>60</v>
      </c>
      <c r="N81" s="18"/>
      <c r="O81" s="18" t="s">
        <v>60</v>
      </c>
      <c r="P81" s="18" t="s">
        <v>60</v>
      </c>
      <c r="Q81" s="19" t="s">
        <v>60</v>
      </c>
      <c r="R81" s="15">
        <f t="shared" si="3"/>
        <v>0</v>
      </c>
      <c r="S81" s="15">
        <v>15.0</v>
      </c>
      <c r="T81" s="15">
        <v>15.0</v>
      </c>
      <c r="U81" s="20">
        <f t="shared" si="4"/>
        <v>1</v>
      </c>
      <c r="V81" s="15">
        <f t="shared" si="5"/>
        <v>0</v>
      </c>
      <c r="W81" s="15">
        <v>15.0</v>
      </c>
      <c r="X81" s="20">
        <f t="shared" si="6"/>
        <v>1</v>
      </c>
      <c r="Y81" s="15">
        <f t="shared" ref="Y81:Z81" si="166">AE81-W81</f>
        <v>0</v>
      </c>
      <c r="Z81" s="20">
        <f t="shared" si="166"/>
        <v>0</v>
      </c>
      <c r="AA81" s="15">
        <v>15.0</v>
      </c>
      <c r="AB81" s="20">
        <f t="shared" si="8"/>
        <v>1</v>
      </c>
      <c r="AC81" s="15">
        <f t="shared" ref="AC81:AD81" si="167">AE81-AA81</f>
        <v>0</v>
      </c>
      <c r="AD81" s="20">
        <f t="shared" si="167"/>
        <v>0</v>
      </c>
      <c r="AE81" s="15">
        <v>15.0</v>
      </c>
      <c r="AF81" s="20">
        <f t="shared" si="10"/>
        <v>1</v>
      </c>
      <c r="AG81" s="15">
        <v>15.0</v>
      </c>
      <c r="AH81" s="20">
        <f t="shared" si="11"/>
        <v>1</v>
      </c>
      <c r="AI81" s="15">
        <v>15.0</v>
      </c>
      <c r="AJ81" s="15">
        <v>0.0</v>
      </c>
      <c r="AK81" s="21">
        <v>0.0</v>
      </c>
      <c r="AL81" s="22">
        <v>1.0</v>
      </c>
      <c r="AM81" s="15">
        <v>0.0</v>
      </c>
      <c r="AN81" s="15">
        <v>0.0</v>
      </c>
      <c r="AO81" s="23" t="s">
        <v>63</v>
      </c>
      <c r="AP81" s="23" t="s">
        <v>64</v>
      </c>
      <c r="AQ81" s="13" t="s">
        <v>65</v>
      </c>
      <c r="AR81" s="24" t="s">
        <v>66</v>
      </c>
      <c r="AS81" s="24"/>
      <c r="AT81" s="25" t="s">
        <v>342</v>
      </c>
      <c r="AU81" s="26" t="s">
        <v>68</v>
      </c>
      <c r="AV81" s="36"/>
      <c r="AW81" s="24" t="s">
        <v>79</v>
      </c>
      <c r="AX81" s="28"/>
      <c r="AY81" s="29" t="s">
        <v>70</v>
      </c>
      <c r="AZ81" s="32"/>
      <c r="BA81" s="25" t="s">
        <v>343</v>
      </c>
      <c r="BB81" s="26" t="s">
        <v>72</v>
      </c>
      <c r="BC81" s="24"/>
      <c r="BD81" s="24" t="s">
        <v>73</v>
      </c>
      <c r="BE81" s="24"/>
      <c r="BF81" s="24"/>
      <c r="BG81" s="24"/>
      <c r="BH81" s="24"/>
    </row>
    <row r="82" ht="14.25" customHeight="1">
      <c r="A82" s="12" t="s">
        <v>344</v>
      </c>
      <c r="B82" s="12"/>
      <c r="C82" s="13"/>
      <c r="D82" s="14"/>
      <c r="E82" s="15"/>
      <c r="F82" s="19"/>
      <c r="G82" s="39"/>
      <c r="H82" s="18"/>
      <c r="I82" s="17">
        <v>0.7931</v>
      </c>
      <c r="J82" s="18"/>
      <c r="K82" s="18" t="s">
        <v>62</v>
      </c>
      <c r="L82" s="18" t="s">
        <v>345</v>
      </c>
      <c r="M82" s="18" t="s">
        <v>60</v>
      </c>
      <c r="N82" s="18"/>
      <c r="O82" s="18" t="s">
        <v>60</v>
      </c>
      <c r="P82" s="18" t="s">
        <v>60</v>
      </c>
      <c r="Q82" s="19" t="s">
        <v>60</v>
      </c>
      <c r="R82" s="15">
        <f t="shared" si="3"/>
        <v>0</v>
      </c>
      <c r="S82" s="15">
        <v>23.0</v>
      </c>
      <c r="T82" s="15">
        <v>17.0</v>
      </c>
      <c r="U82" s="20">
        <f t="shared" si="4"/>
        <v>0.7391304348</v>
      </c>
      <c r="V82" s="15">
        <f t="shared" si="5"/>
        <v>0</v>
      </c>
      <c r="W82" s="15">
        <v>17.0</v>
      </c>
      <c r="X82" s="20">
        <f t="shared" si="6"/>
        <v>0.7391304348</v>
      </c>
      <c r="Y82" s="15">
        <f t="shared" ref="Y82:Z82" si="168">AE82-W82</f>
        <v>0</v>
      </c>
      <c r="Z82" s="20">
        <f t="shared" si="168"/>
        <v>0</v>
      </c>
      <c r="AA82" s="15">
        <v>17.0</v>
      </c>
      <c r="AB82" s="20">
        <f t="shared" si="8"/>
        <v>0.7391304348</v>
      </c>
      <c r="AC82" s="15">
        <f t="shared" ref="AC82:AD82" si="169">AE82-AA82</f>
        <v>0</v>
      </c>
      <c r="AD82" s="20">
        <f t="shared" si="169"/>
        <v>0</v>
      </c>
      <c r="AE82" s="15">
        <v>17.0</v>
      </c>
      <c r="AF82" s="20">
        <f t="shared" si="10"/>
        <v>0.7391304348</v>
      </c>
      <c r="AG82" s="15">
        <v>17.0</v>
      </c>
      <c r="AH82" s="20">
        <f t="shared" si="11"/>
        <v>0.7391304348</v>
      </c>
      <c r="AI82" s="15">
        <v>17.0</v>
      </c>
      <c r="AJ82" s="15">
        <v>0.0</v>
      </c>
      <c r="AK82" s="21">
        <v>0.0</v>
      </c>
      <c r="AL82" s="22">
        <v>0.739130434782609</v>
      </c>
      <c r="AM82" s="15">
        <v>6.0</v>
      </c>
      <c r="AN82" s="15">
        <v>6.0</v>
      </c>
      <c r="AO82" s="23" t="s">
        <v>63</v>
      </c>
      <c r="AP82" s="23" t="s">
        <v>64</v>
      </c>
      <c r="AQ82" s="13" t="s">
        <v>65</v>
      </c>
      <c r="AR82" s="24" t="s">
        <v>66</v>
      </c>
      <c r="AS82" s="24"/>
      <c r="AT82" s="25" t="s">
        <v>346</v>
      </c>
      <c r="AU82" s="26" t="s">
        <v>118</v>
      </c>
      <c r="AV82" s="27"/>
      <c r="AW82" s="24" t="s">
        <v>133</v>
      </c>
      <c r="AX82" s="42">
        <v>46002.0</v>
      </c>
      <c r="AY82" s="29" t="s">
        <v>250</v>
      </c>
      <c r="AZ82" s="71"/>
      <c r="BA82" s="28"/>
      <c r="BB82" s="26"/>
      <c r="BC82" s="27"/>
      <c r="BD82" s="24"/>
      <c r="BE82" s="72"/>
      <c r="BF82" s="27"/>
      <c r="BG82" s="27"/>
      <c r="BH82" s="27"/>
    </row>
    <row r="83" ht="14.25" customHeight="1">
      <c r="A83" s="12" t="s">
        <v>347</v>
      </c>
      <c r="B83" s="12"/>
      <c r="C83" s="13"/>
      <c r="D83" s="14"/>
      <c r="E83" s="15"/>
      <c r="F83" s="15"/>
      <c r="G83" s="12"/>
      <c r="H83" s="16"/>
      <c r="I83" s="17">
        <v>0.0</v>
      </c>
      <c r="J83" s="18"/>
      <c r="K83" s="18"/>
      <c r="L83" s="18" t="s">
        <v>84</v>
      </c>
      <c r="M83" s="18" t="s">
        <v>84</v>
      </c>
      <c r="N83" s="18"/>
      <c r="O83" s="18" t="s">
        <v>84</v>
      </c>
      <c r="P83" s="18" t="s">
        <v>84</v>
      </c>
      <c r="Q83" s="18" t="s">
        <v>84</v>
      </c>
      <c r="R83" s="15">
        <f t="shared" si="3"/>
        <v>0</v>
      </c>
      <c r="S83" s="15">
        <v>102.0</v>
      </c>
      <c r="T83" s="15">
        <v>0.0</v>
      </c>
      <c r="U83" s="20">
        <f t="shared" si="4"/>
        <v>0</v>
      </c>
      <c r="V83" s="15">
        <f t="shared" si="5"/>
        <v>30</v>
      </c>
      <c r="W83" s="15">
        <v>0.0</v>
      </c>
      <c r="X83" s="20">
        <f t="shared" si="6"/>
        <v>0</v>
      </c>
      <c r="Y83" s="15">
        <f t="shared" ref="Y83:Z83" si="170">AE83-W83</f>
        <v>30</v>
      </c>
      <c r="Z83" s="20">
        <f t="shared" si="170"/>
        <v>0.2941176471</v>
      </c>
      <c r="AA83" s="15">
        <v>0.0</v>
      </c>
      <c r="AB83" s="20">
        <f t="shared" si="8"/>
        <v>0</v>
      </c>
      <c r="AC83" s="15">
        <f t="shared" ref="AC83:AD83" si="171">AE83-AA83</f>
        <v>30</v>
      </c>
      <c r="AD83" s="20">
        <f t="shared" si="171"/>
        <v>0.2941176471</v>
      </c>
      <c r="AE83" s="15">
        <v>30.0</v>
      </c>
      <c r="AF83" s="20">
        <f t="shared" si="10"/>
        <v>0.2941176471</v>
      </c>
      <c r="AG83" s="15">
        <v>30.0</v>
      </c>
      <c r="AH83" s="20">
        <f t="shared" si="11"/>
        <v>0.2941176471</v>
      </c>
      <c r="AI83" s="15">
        <v>30.0</v>
      </c>
      <c r="AJ83" s="15">
        <v>0.0</v>
      </c>
      <c r="AK83" s="21">
        <v>0.0</v>
      </c>
      <c r="AL83" s="22">
        <v>0.294117647058824</v>
      </c>
      <c r="AM83" s="15">
        <v>72.0</v>
      </c>
      <c r="AN83" s="15">
        <v>72.0</v>
      </c>
      <c r="AO83" s="23" t="s">
        <v>64</v>
      </c>
      <c r="AP83" s="23" t="s">
        <v>64</v>
      </c>
      <c r="AQ83" s="13" t="s">
        <v>104</v>
      </c>
      <c r="AR83" s="24" t="s">
        <v>66</v>
      </c>
      <c r="AS83" s="24"/>
      <c r="AT83" s="25" t="s">
        <v>348</v>
      </c>
      <c r="AU83" s="26" t="s">
        <v>68</v>
      </c>
      <c r="AV83" s="27"/>
      <c r="AW83" s="24" t="s">
        <v>69</v>
      </c>
      <c r="AX83" s="28"/>
      <c r="AY83" s="29" t="s">
        <v>89</v>
      </c>
      <c r="AZ83" s="37"/>
      <c r="BA83" s="28"/>
      <c r="BB83" s="26" t="s">
        <v>90</v>
      </c>
      <c r="BC83" s="27"/>
      <c r="BD83" s="34" t="s">
        <v>91</v>
      </c>
      <c r="BE83" s="38"/>
      <c r="BF83" s="27"/>
      <c r="BG83" s="27"/>
      <c r="BH83" s="27"/>
    </row>
    <row r="84" ht="14.25" customHeight="1">
      <c r="A84" s="115" t="s">
        <v>349</v>
      </c>
      <c r="B84" s="115"/>
      <c r="C84" s="116"/>
      <c r="D84" s="75"/>
      <c r="E84" s="76"/>
      <c r="F84" s="77"/>
      <c r="G84" s="73"/>
      <c r="H84" s="77"/>
      <c r="I84" s="78">
        <v>0.2321</v>
      </c>
      <c r="J84" s="79"/>
      <c r="K84" s="79" t="s">
        <v>62</v>
      </c>
      <c r="L84" s="79" t="s">
        <v>62</v>
      </c>
      <c r="M84" s="79" t="s">
        <v>62</v>
      </c>
      <c r="N84" s="79" t="s">
        <v>62</v>
      </c>
      <c r="O84" s="79" t="s">
        <v>129</v>
      </c>
      <c r="P84" s="79" t="s">
        <v>60</v>
      </c>
      <c r="Q84" s="80" t="s">
        <v>60</v>
      </c>
      <c r="R84" s="76">
        <f t="shared" si="3"/>
        <v>0</v>
      </c>
      <c r="S84" s="76">
        <v>51.0</v>
      </c>
      <c r="T84" s="76">
        <v>13.0</v>
      </c>
      <c r="U84" s="20">
        <f t="shared" si="4"/>
        <v>0.2549019608</v>
      </c>
      <c r="V84" s="15">
        <f t="shared" si="5"/>
        <v>-10</v>
      </c>
      <c r="W84" s="76">
        <v>12.0</v>
      </c>
      <c r="X84" s="81">
        <f t="shared" si="6"/>
        <v>0.2352941176</v>
      </c>
      <c r="Y84" s="76">
        <f t="shared" ref="Y84:Z84" si="172">AE84-W84</f>
        <v>3</v>
      </c>
      <c r="Z84" s="81">
        <f t="shared" si="172"/>
        <v>0.05882352941</v>
      </c>
      <c r="AA84" s="76">
        <v>15.0</v>
      </c>
      <c r="AB84" s="81">
        <f t="shared" si="8"/>
        <v>0.2941176471</v>
      </c>
      <c r="AC84" s="76">
        <f t="shared" ref="AC84:AD84" si="173">AE84-AA84</f>
        <v>0</v>
      </c>
      <c r="AD84" s="81">
        <f t="shared" si="173"/>
        <v>0</v>
      </c>
      <c r="AE84" s="76">
        <v>15.0</v>
      </c>
      <c r="AF84" s="81">
        <f t="shared" si="10"/>
        <v>0.2941176471</v>
      </c>
      <c r="AG84" s="76">
        <v>15.0</v>
      </c>
      <c r="AH84" s="81">
        <f t="shared" si="11"/>
        <v>0.2941176471</v>
      </c>
      <c r="AI84" s="76">
        <v>3.0</v>
      </c>
      <c r="AJ84" s="76">
        <v>0.0</v>
      </c>
      <c r="AK84" s="82">
        <v>12.0</v>
      </c>
      <c r="AL84" s="83">
        <v>0.294117647058824</v>
      </c>
      <c r="AM84" s="76">
        <v>36.0</v>
      </c>
      <c r="AN84" s="76">
        <v>15.0</v>
      </c>
      <c r="AO84" s="84" t="s">
        <v>63</v>
      </c>
      <c r="AP84" s="84" t="s">
        <v>64</v>
      </c>
      <c r="AQ84" s="85" t="s">
        <v>93</v>
      </c>
      <c r="AR84" s="86" t="s">
        <v>66</v>
      </c>
      <c r="AS84" s="86"/>
      <c r="AT84" s="87" t="s">
        <v>350</v>
      </c>
      <c r="AU84" s="88" t="s">
        <v>68</v>
      </c>
      <c r="AV84" s="93"/>
      <c r="AW84" s="86" t="s">
        <v>100</v>
      </c>
      <c r="AX84" s="93"/>
      <c r="AY84" s="91" t="s">
        <v>260</v>
      </c>
      <c r="AZ84" s="30"/>
      <c r="BA84" s="92" t="s">
        <v>351</v>
      </c>
      <c r="BB84" s="88" t="s">
        <v>262</v>
      </c>
      <c r="BC84" s="93"/>
      <c r="BD84" s="94" t="s">
        <v>91</v>
      </c>
      <c r="BE84" s="94"/>
      <c r="BF84" s="93"/>
      <c r="BG84" s="93"/>
      <c r="BH84" s="93"/>
    </row>
    <row r="85" ht="14.25" customHeight="1">
      <c r="A85" s="12" t="s">
        <v>352</v>
      </c>
      <c r="B85" s="12"/>
      <c r="C85" s="13"/>
      <c r="D85" s="14"/>
      <c r="E85" s="15"/>
      <c r="F85" s="15"/>
      <c r="G85" s="12"/>
      <c r="H85" s="16"/>
      <c r="I85" s="17">
        <v>0.0</v>
      </c>
      <c r="J85" s="18"/>
      <c r="K85" s="18"/>
      <c r="L85" s="18" t="s">
        <v>84</v>
      </c>
      <c r="M85" s="18" t="s">
        <v>60</v>
      </c>
      <c r="N85" s="18"/>
      <c r="O85" s="18" t="s">
        <v>60</v>
      </c>
      <c r="P85" s="18" t="s">
        <v>60</v>
      </c>
      <c r="Q85" s="19" t="s">
        <v>60</v>
      </c>
      <c r="R85" s="15">
        <f t="shared" si="3"/>
        <v>0</v>
      </c>
      <c r="S85" s="15">
        <v>19.0</v>
      </c>
      <c r="T85" s="15">
        <v>0.0</v>
      </c>
      <c r="U85" s="20">
        <f t="shared" si="4"/>
        <v>0</v>
      </c>
      <c r="V85" s="15">
        <f t="shared" si="5"/>
        <v>19</v>
      </c>
      <c r="W85" s="15">
        <v>19.0</v>
      </c>
      <c r="X85" s="20">
        <f t="shared" si="6"/>
        <v>1</v>
      </c>
      <c r="Y85" s="15">
        <f t="shared" ref="Y85:Z85" si="174">AE85-W85</f>
        <v>0</v>
      </c>
      <c r="Z85" s="20">
        <f t="shared" si="174"/>
        <v>0</v>
      </c>
      <c r="AA85" s="15">
        <v>19.0</v>
      </c>
      <c r="AB85" s="20">
        <f t="shared" si="8"/>
        <v>1</v>
      </c>
      <c r="AC85" s="15">
        <f t="shared" ref="AC85:AD85" si="175">AE85-AA85</f>
        <v>0</v>
      </c>
      <c r="AD85" s="20">
        <f t="shared" si="175"/>
        <v>0</v>
      </c>
      <c r="AE85" s="15">
        <v>19.0</v>
      </c>
      <c r="AF85" s="20">
        <f t="shared" si="10"/>
        <v>1</v>
      </c>
      <c r="AG85" s="15">
        <v>19.0</v>
      </c>
      <c r="AH85" s="20">
        <f t="shared" si="11"/>
        <v>1</v>
      </c>
      <c r="AI85" s="15">
        <v>19.0</v>
      </c>
      <c r="AJ85" s="15">
        <v>0.0</v>
      </c>
      <c r="AK85" s="21">
        <v>0.0</v>
      </c>
      <c r="AL85" s="22">
        <v>1.0</v>
      </c>
      <c r="AM85" s="15">
        <v>0.0</v>
      </c>
      <c r="AN85" s="15">
        <v>0.0</v>
      </c>
      <c r="AO85" s="23" t="s">
        <v>63</v>
      </c>
      <c r="AP85" s="23" t="s">
        <v>64</v>
      </c>
      <c r="AQ85" s="13" t="s">
        <v>77</v>
      </c>
      <c r="AR85" s="24" t="s">
        <v>66</v>
      </c>
      <c r="AS85" s="24"/>
      <c r="AT85" s="52" t="s">
        <v>353</v>
      </c>
      <c r="AU85" s="26" t="s">
        <v>118</v>
      </c>
      <c r="AV85" s="36"/>
      <c r="AW85" s="24" t="s">
        <v>133</v>
      </c>
      <c r="AX85" s="31">
        <v>46000.0</v>
      </c>
      <c r="AY85" s="29" t="s">
        <v>173</v>
      </c>
      <c r="AZ85" s="37"/>
      <c r="BA85" s="28"/>
      <c r="BB85" s="26"/>
      <c r="BC85" s="27"/>
      <c r="BD85" s="24"/>
      <c r="BE85" s="58"/>
      <c r="BF85" s="27"/>
      <c r="BG85" s="27"/>
      <c r="BH85" s="27"/>
    </row>
    <row r="86" ht="14.25" customHeight="1">
      <c r="A86" s="12" t="s">
        <v>354</v>
      </c>
      <c r="B86" s="12"/>
      <c r="C86" s="13"/>
      <c r="D86" s="14"/>
      <c r="E86" s="15"/>
      <c r="F86" s="15"/>
      <c r="G86" s="12"/>
      <c r="H86" s="16"/>
      <c r="I86" s="17">
        <v>1.0</v>
      </c>
      <c r="J86" s="18" t="s">
        <v>114</v>
      </c>
      <c r="K86" s="18" t="s">
        <v>270</v>
      </c>
      <c r="L86" s="18" t="s">
        <v>60</v>
      </c>
      <c r="M86" s="18" t="s">
        <v>60</v>
      </c>
      <c r="N86" s="18"/>
      <c r="O86" s="18" t="s">
        <v>60</v>
      </c>
      <c r="P86" s="18" t="s">
        <v>60</v>
      </c>
      <c r="Q86" s="19" t="s">
        <v>60</v>
      </c>
      <c r="R86" s="15">
        <f t="shared" si="3"/>
        <v>0</v>
      </c>
      <c r="S86" s="15">
        <v>18.0</v>
      </c>
      <c r="T86" s="15">
        <v>18.0</v>
      </c>
      <c r="U86" s="20">
        <f t="shared" si="4"/>
        <v>1</v>
      </c>
      <c r="V86" s="15">
        <f t="shared" si="5"/>
        <v>0</v>
      </c>
      <c r="W86" s="15">
        <v>18.0</v>
      </c>
      <c r="X86" s="20">
        <f t="shared" si="6"/>
        <v>1</v>
      </c>
      <c r="Y86" s="15">
        <f t="shared" ref="Y86:Z86" si="176">AE86-W86</f>
        <v>0</v>
      </c>
      <c r="Z86" s="20">
        <f t="shared" si="176"/>
        <v>0</v>
      </c>
      <c r="AA86" s="15">
        <v>18.0</v>
      </c>
      <c r="AB86" s="20">
        <f t="shared" si="8"/>
        <v>1</v>
      </c>
      <c r="AC86" s="15">
        <f t="shared" ref="AC86:AD86" si="177">AE86-AA86</f>
        <v>0</v>
      </c>
      <c r="AD86" s="20">
        <f t="shared" si="177"/>
        <v>0</v>
      </c>
      <c r="AE86" s="15">
        <v>18.0</v>
      </c>
      <c r="AF86" s="20">
        <f t="shared" si="10"/>
        <v>1</v>
      </c>
      <c r="AG86" s="15">
        <v>18.0</v>
      </c>
      <c r="AH86" s="20">
        <f t="shared" si="11"/>
        <v>1</v>
      </c>
      <c r="AI86" s="15">
        <v>18.0</v>
      </c>
      <c r="AJ86" s="15">
        <v>0.0</v>
      </c>
      <c r="AK86" s="21">
        <v>0.0</v>
      </c>
      <c r="AL86" s="22">
        <v>1.0</v>
      </c>
      <c r="AM86" s="15">
        <v>0.0</v>
      </c>
      <c r="AN86" s="15">
        <v>0.0</v>
      </c>
      <c r="AO86" s="23" t="s">
        <v>63</v>
      </c>
      <c r="AP86" s="23" t="s">
        <v>64</v>
      </c>
      <c r="AQ86" s="13" t="s">
        <v>77</v>
      </c>
      <c r="AR86" s="24" t="s">
        <v>66</v>
      </c>
      <c r="AS86" s="24"/>
      <c r="AT86" s="25" t="s">
        <v>355</v>
      </c>
      <c r="AU86" s="26" t="s">
        <v>68</v>
      </c>
      <c r="AV86" s="27"/>
      <c r="AW86" s="24" t="s">
        <v>69</v>
      </c>
      <c r="AX86" s="28"/>
      <c r="AY86" s="29" t="s">
        <v>70</v>
      </c>
      <c r="AZ86" s="30"/>
      <c r="BA86" s="25" t="s">
        <v>356</v>
      </c>
      <c r="BB86" s="26" t="s">
        <v>72</v>
      </c>
      <c r="BC86" s="27"/>
      <c r="BD86" s="24" t="s">
        <v>307</v>
      </c>
      <c r="BE86" s="27"/>
      <c r="BF86" s="27"/>
      <c r="BG86" s="27"/>
      <c r="BH86" s="27"/>
    </row>
    <row r="87" ht="64.5" customHeight="1">
      <c r="A87" s="73" t="s">
        <v>357</v>
      </c>
      <c r="B87" s="73"/>
      <c r="C87" s="85"/>
      <c r="D87" s="75"/>
      <c r="E87" s="76"/>
      <c r="F87" s="76"/>
      <c r="G87" s="73"/>
      <c r="H87" s="77"/>
      <c r="I87" s="78">
        <v>0.1033</v>
      </c>
      <c r="J87" s="79"/>
      <c r="K87" s="79" t="s">
        <v>75</v>
      </c>
      <c r="L87" s="79" t="s">
        <v>76</v>
      </c>
      <c r="M87" s="79" t="s">
        <v>62</v>
      </c>
      <c r="N87" s="79" t="s">
        <v>62</v>
      </c>
      <c r="O87" s="79" t="s">
        <v>60</v>
      </c>
      <c r="P87" s="79" t="s">
        <v>60</v>
      </c>
      <c r="Q87" s="80" t="s">
        <v>60</v>
      </c>
      <c r="R87" s="76">
        <f t="shared" si="3"/>
        <v>0</v>
      </c>
      <c r="S87" s="76">
        <v>577.0</v>
      </c>
      <c r="T87" s="76">
        <v>56.0</v>
      </c>
      <c r="U87" s="20">
        <f t="shared" si="4"/>
        <v>0.09705372617</v>
      </c>
      <c r="V87" s="15">
        <f t="shared" si="5"/>
        <v>93</v>
      </c>
      <c r="W87" s="76">
        <v>60.0</v>
      </c>
      <c r="X87" s="81">
        <f t="shared" si="6"/>
        <v>0.1039861352</v>
      </c>
      <c r="Y87" s="76">
        <f t="shared" ref="Y87:Z87" si="178">AE87-W87</f>
        <v>0</v>
      </c>
      <c r="Z87" s="81">
        <f t="shared" si="178"/>
        <v>0</v>
      </c>
      <c r="AA87" s="76">
        <v>60.0</v>
      </c>
      <c r="AB87" s="81">
        <f t="shared" si="8"/>
        <v>0.1039861352</v>
      </c>
      <c r="AC87" s="76">
        <f t="shared" ref="AC87:AD87" si="179">AE87-AA87</f>
        <v>0</v>
      </c>
      <c r="AD87" s="81">
        <f t="shared" si="179"/>
        <v>0</v>
      </c>
      <c r="AE87" s="76">
        <v>60.0</v>
      </c>
      <c r="AF87" s="81">
        <f t="shared" si="10"/>
        <v>0.1039861352</v>
      </c>
      <c r="AG87" s="76">
        <v>60.0</v>
      </c>
      <c r="AH87" s="81">
        <f t="shared" si="11"/>
        <v>0.1039861352</v>
      </c>
      <c r="AI87" s="76">
        <v>149.0</v>
      </c>
      <c r="AJ87" s="76">
        <v>4.0</v>
      </c>
      <c r="AK87" s="82">
        <v>0.0</v>
      </c>
      <c r="AL87" s="83">
        <v>0.265164644714038</v>
      </c>
      <c r="AM87" s="76">
        <v>427.0</v>
      </c>
      <c r="AN87" s="76">
        <v>424.0</v>
      </c>
      <c r="AO87" s="84" t="s">
        <v>64</v>
      </c>
      <c r="AP87" s="84" t="s">
        <v>64</v>
      </c>
      <c r="AQ87" s="85" t="s">
        <v>108</v>
      </c>
      <c r="AR87" s="86" t="s">
        <v>66</v>
      </c>
      <c r="AS87" s="86"/>
      <c r="AT87" s="87" t="s">
        <v>358</v>
      </c>
      <c r="AU87" s="88" t="s">
        <v>118</v>
      </c>
      <c r="AV87" s="89"/>
      <c r="AW87" s="86" t="s">
        <v>133</v>
      </c>
      <c r="AX87" s="117">
        <v>46002.0</v>
      </c>
      <c r="AY87" s="91" t="s">
        <v>359</v>
      </c>
      <c r="AZ87" s="32"/>
      <c r="BA87" s="92" t="s">
        <v>360</v>
      </c>
      <c r="BB87" s="88" t="s">
        <v>361</v>
      </c>
      <c r="BC87" s="93"/>
      <c r="BD87" s="86"/>
      <c r="BE87" s="86"/>
      <c r="BF87" s="93"/>
      <c r="BG87" s="93"/>
      <c r="BH87" s="93"/>
    </row>
    <row r="88" ht="14.25" customHeight="1">
      <c r="A88" s="12" t="s">
        <v>362</v>
      </c>
      <c r="B88" s="12"/>
      <c r="C88" s="13"/>
      <c r="D88" s="14"/>
      <c r="E88" s="15"/>
      <c r="F88" s="15"/>
      <c r="G88" s="12"/>
      <c r="H88" s="16"/>
      <c r="I88" s="17">
        <v>1.0</v>
      </c>
      <c r="J88" s="18" t="s">
        <v>114</v>
      </c>
      <c r="K88" s="18" t="s">
        <v>270</v>
      </c>
      <c r="L88" s="18" t="s">
        <v>60</v>
      </c>
      <c r="M88" s="18" t="s">
        <v>60</v>
      </c>
      <c r="N88" s="18"/>
      <c r="O88" s="18" t="s">
        <v>60</v>
      </c>
      <c r="P88" s="18" t="s">
        <v>60</v>
      </c>
      <c r="Q88" s="19" t="s">
        <v>60</v>
      </c>
      <c r="R88" s="15">
        <f t="shared" si="3"/>
        <v>0</v>
      </c>
      <c r="S88" s="15">
        <v>26.0</v>
      </c>
      <c r="T88" s="15">
        <v>26.0</v>
      </c>
      <c r="U88" s="20">
        <f t="shared" si="4"/>
        <v>1</v>
      </c>
      <c r="V88" s="15">
        <f t="shared" si="5"/>
        <v>0</v>
      </c>
      <c r="W88" s="15">
        <v>26.0</v>
      </c>
      <c r="X88" s="20">
        <f t="shared" si="6"/>
        <v>1</v>
      </c>
      <c r="Y88" s="15">
        <f t="shared" ref="Y88:Z88" si="180">AE88-W88</f>
        <v>0</v>
      </c>
      <c r="Z88" s="20">
        <f t="shared" si="180"/>
        <v>0</v>
      </c>
      <c r="AA88" s="15">
        <v>26.0</v>
      </c>
      <c r="AB88" s="20">
        <f t="shared" si="8"/>
        <v>1</v>
      </c>
      <c r="AC88" s="15">
        <f t="shared" ref="AC88:AD88" si="181">AE88-AA88</f>
        <v>0</v>
      </c>
      <c r="AD88" s="20">
        <f t="shared" si="181"/>
        <v>0</v>
      </c>
      <c r="AE88" s="15">
        <v>26.0</v>
      </c>
      <c r="AF88" s="20">
        <f t="shared" si="10"/>
        <v>1</v>
      </c>
      <c r="AG88" s="15">
        <v>26.0</v>
      </c>
      <c r="AH88" s="20">
        <f t="shared" si="11"/>
        <v>1</v>
      </c>
      <c r="AI88" s="15">
        <v>26.0</v>
      </c>
      <c r="AJ88" s="15">
        <v>0.0</v>
      </c>
      <c r="AK88" s="21">
        <v>0.0</v>
      </c>
      <c r="AL88" s="22">
        <v>1.0</v>
      </c>
      <c r="AM88" s="15">
        <v>0.0</v>
      </c>
      <c r="AN88" s="15">
        <v>0.0</v>
      </c>
      <c r="AO88" s="23" t="s">
        <v>64</v>
      </c>
      <c r="AP88" s="23" t="s">
        <v>64</v>
      </c>
      <c r="AQ88" s="13" t="s">
        <v>108</v>
      </c>
      <c r="AR88" s="24" t="s">
        <v>66</v>
      </c>
      <c r="AS88" s="24"/>
      <c r="AT88" s="25" t="s">
        <v>363</v>
      </c>
      <c r="AU88" s="26" t="s">
        <v>68</v>
      </c>
      <c r="AV88" s="27"/>
      <c r="AW88" s="24" t="s">
        <v>69</v>
      </c>
      <c r="AX88" s="28"/>
      <c r="AY88" s="29" t="s">
        <v>70</v>
      </c>
      <c r="AZ88" s="30"/>
      <c r="BA88" s="25" t="s">
        <v>364</v>
      </c>
      <c r="BB88" s="26" t="s">
        <v>72</v>
      </c>
      <c r="BC88" s="27"/>
      <c r="BD88" s="24" t="s">
        <v>73</v>
      </c>
      <c r="BE88" s="27"/>
      <c r="BF88" s="27"/>
      <c r="BG88" s="27"/>
      <c r="BH88" s="27"/>
    </row>
    <row r="89" ht="14.25" customHeight="1">
      <c r="A89" s="73" t="s">
        <v>365</v>
      </c>
      <c r="B89" s="73"/>
      <c r="C89" s="85"/>
      <c r="D89" s="75"/>
      <c r="E89" s="76"/>
      <c r="F89" s="76"/>
      <c r="G89" s="73"/>
      <c r="H89" s="77"/>
      <c r="I89" s="78">
        <v>0.1667</v>
      </c>
      <c r="J89" s="79"/>
      <c r="K89" s="79" t="s">
        <v>62</v>
      </c>
      <c r="L89" s="79" t="s">
        <v>76</v>
      </c>
      <c r="M89" s="79" t="s">
        <v>62</v>
      </c>
      <c r="N89" s="79" t="s">
        <v>62</v>
      </c>
      <c r="O89" s="79" t="s">
        <v>85</v>
      </c>
      <c r="P89" s="80" t="s">
        <v>62</v>
      </c>
      <c r="Q89" s="80" t="s">
        <v>62</v>
      </c>
      <c r="R89" s="76">
        <f t="shared" si="3"/>
        <v>0</v>
      </c>
      <c r="S89" s="76">
        <v>34.0</v>
      </c>
      <c r="T89" s="76">
        <v>5.0</v>
      </c>
      <c r="U89" s="20">
        <f t="shared" si="4"/>
        <v>0.1470588235</v>
      </c>
      <c r="V89" s="15">
        <f t="shared" si="5"/>
        <v>20</v>
      </c>
      <c r="W89" s="76">
        <v>5.0</v>
      </c>
      <c r="X89" s="81">
        <f t="shared" si="6"/>
        <v>0.1470588235</v>
      </c>
      <c r="Y89" s="76">
        <f t="shared" ref="Y89:Z89" si="182">AE89-W89</f>
        <v>20</v>
      </c>
      <c r="Z89" s="81">
        <f t="shared" si="182"/>
        <v>0.5882352941</v>
      </c>
      <c r="AA89" s="76">
        <v>7.0</v>
      </c>
      <c r="AB89" s="81">
        <f t="shared" si="8"/>
        <v>0.2058823529</v>
      </c>
      <c r="AC89" s="76">
        <f t="shared" ref="AC89:AD89" si="183">AE89-AA89</f>
        <v>18</v>
      </c>
      <c r="AD89" s="81">
        <f t="shared" si="183"/>
        <v>0.5294117647</v>
      </c>
      <c r="AE89" s="76">
        <v>25.0</v>
      </c>
      <c r="AF89" s="81">
        <f t="shared" si="10"/>
        <v>0.7352941176</v>
      </c>
      <c r="AG89" s="76">
        <v>25.0</v>
      </c>
      <c r="AH89" s="81">
        <f t="shared" si="11"/>
        <v>0.7352941176</v>
      </c>
      <c r="AI89" s="76">
        <v>25.0</v>
      </c>
      <c r="AJ89" s="76">
        <v>0.0</v>
      </c>
      <c r="AK89" s="82">
        <v>0.0</v>
      </c>
      <c r="AL89" s="83">
        <v>0.735294117647059</v>
      </c>
      <c r="AM89" s="76">
        <v>1.0</v>
      </c>
      <c r="AN89" s="76">
        <v>9.0</v>
      </c>
      <c r="AO89" s="84" t="s">
        <v>64</v>
      </c>
      <c r="AP89" s="84" t="s">
        <v>64</v>
      </c>
      <c r="AQ89" s="85" t="s">
        <v>108</v>
      </c>
      <c r="AR89" s="86" t="s">
        <v>66</v>
      </c>
      <c r="AS89" s="86"/>
      <c r="AT89" s="87" t="s">
        <v>366</v>
      </c>
      <c r="AU89" s="88" t="s">
        <v>68</v>
      </c>
      <c r="AV89" s="93"/>
      <c r="AW89" s="86" t="s">
        <v>69</v>
      </c>
      <c r="AX89" s="90"/>
      <c r="AY89" s="91" t="s">
        <v>359</v>
      </c>
      <c r="AZ89" s="32"/>
      <c r="BA89" s="92" t="s">
        <v>367</v>
      </c>
      <c r="BB89" s="88" t="s">
        <v>368</v>
      </c>
      <c r="BC89" s="93"/>
      <c r="BD89" s="94" t="s">
        <v>91</v>
      </c>
      <c r="BE89" s="94"/>
      <c r="BF89" s="93"/>
      <c r="BG89" s="93"/>
      <c r="BH89" s="93"/>
    </row>
    <row r="90" ht="14.25" customHeight="1">
      <c r="A90" s="73" t="s">
        <v>369</v>
      </c>
      <c r="B90" s="73"/>
      <c r="C90" s="85"/>
      <c r="D90" s="75"/>
      <c r="E90" s="76"/>
      <c r="F90" s="80"/>
      <c r="G90" s="118"/>
      <c r="H90" s="79"/>
      <c r="I90" s="78">
        <v>0.5075</v>
      </c>
      <c r="J90" s="79"/>
      <c r="K90" s="79" t="s">
        <v>75</v>
      </c>
      <c r="L90" s="79" t="s">
        <v>76</v>
      </c>
      <c r="M90" s="79" t="s">
        <v>62</v>
      </c>
      <c r="N90" s="79" t="s">
        <v>62</v>
      </c>
      <c r="O90" s="79" t="s">
        <v>86</v>
      </c>
      <c r="P90" s="79" t="s">
        <v>60</v>
      </c>
      <c r="Q90" s="80" t="s">
        <v>60</v>
      </c>
      <c r="R90" s="76">
        <f t="shared" si="3"/>
        <v>0</v>
      </c>
      <c r="S90" s="76">
        <v>69.0</v>
      </c>
      <c r="T90" s="76">
        <v>24.0</v>
      </c>
      <c r="U90" s="20">
        <f t="shared" si="4"/>
        <v>0.347826087</v>
      </c>
      <c r="V90" s="15">
        <f t="shared" si="5"/>
        <v>14</v>
      </c>
      <c r="W90" s="76">
        <v>25.0</v>
      </c>
      <c r="X90" s="81">
        <f t="shared" si="6"/>
        <v>0.3623188406</v>
      </c>
      <c r="Y90" s="76">
        <f t="shared" ref="Y90:Z90" si="184">AE90-W90</f>
        <v>6</v>
      </c>
      <c r="Z90" s="81">
        <f t="shared" si="184"/>
        <v>0.08695652174</v>
      </c>
      <c r="AA90" s="76">
        <v>31.0</v>
      </c>
      <c r="AB90" s="81">
        <f t="shared" si="8"/>
        <v>0.4492753623</v>
      </c>
      <c r="AC90" s="76">
        <f t="shared" ref="AC90:AD90" si="185">AE90-AA90</f>
        <v>0</v>
      </c>
      <c r="AD90" s="81">
        <f t="shared" si="185"/>
        <v>0</v>
      </c>
      <c r="AE90" s="76">
        <v>31.0</v>
      </c>
      <c r="AF90" s="81">
        <f t="shared" si="10"/>
        <v>0.4492753623</v>
      </c>
      <c r="AG90" s="76">
        <v>31.0</v>
      </c>
      <c r="AH90" s="81">
        <f t="shared" si="11"/>
        <v>0.4492753623</v>
      </c>
      <c r="AI90" s="76">
        <v>38.0</v>
      </c>
      <c r="AJ90" s="76">
        <v>1.0</v>
      </c>
      <c r="AK90" s="82">
        <v>0.0</v>
      </c>
      <c r="AL90" s="83">
        <v>0.565217391304348</v>
      </c>
      <c r="AM90" s="76">
        <v>31.0</v>
      </c>
      <c r="AN90" s="76">
        <v>30.0</v>
      </c>
      <c r="AO90" s="84" t="s">
        <v>64</v>
      </c>
      <c r="AP90" s="84" t="s">
        <v>64</v>
      </c>
      <c r="AQ90" s="85" t="s">
        <v>108</v>
      </c>
      <c r="AR90" s="86" t="s">
        <v>66</v>
      </c>
      <c r="AS90" s="86"/>
      <c r="AT90" s="87" t="s">
        <v>370</v>
      </c>
      <c r="AU90" s="88" t="s">
        <v>68</v>
      </c>
      <c r="AV90" s="93"/>
      <c r="AW90" s="86" t="s">
        <v>79</v>
      </c>
      <c r="AX90" s="90"/>
      <c r="AY90" s="91" t="s">
        <v>371</v>
      </c>
      <c r="AZ90" s="30"/>
      <c r="BA90" s="92" t="s">
        <v>372</v>
      </c>
      <c r="BB90" s="88" t="s">
        <v>90</v>
      </c>
      <c r="BC90" s="93"/>
      <c r="BD90" s="94" t="s">
        <v>81</v>
      </c>
      <c r="BE90" s="94"/>
      <c r="BF90" s="93"/>
      <c r="BG90" s="93"/>
      <c r="BH90" s="93"/>
    </row>
    <row r="91" ht="14.25" customHeight="1">
      <c r="A91" s="12" t="s">
        <v>373</v>
      </c>
      <c r="B91" s="12"/>
      <c r="C91" s="13"/>
      <c r="D91" s="14"/>
      <c r="E91" s="15"/>
      <c r="F91" s="15"/>
      <c r="G91" s="12"/>
      <c r="H91" s="16"/>
      <c r="I91" s="17">
        <v>0.6154</v>
      </c>
      <c r="J91" s="18"/>
      <c r="K91" s="18" t="s">
        <v>374</v>
      </c>
      <c r="L91" s="18" t="s">
        <v>374</v>
      </c>
      <c r="M91" s="18" t="s">
        <v>62</v>
      </c>
      <c r="N91" s="18"/>
      <c r="O91" s="18" t="s">
        <v>60</v>
      </c>
      <c r="P91" s="18" t="s">
        <v>60</v>
      </c>
      <c r="Q91" s="19" t="s">
        <v>60</v>
      </c>
      <c r="R91" s="15">
        <f t="shared" si="3"/>
        <v>0</v>
      </c>
      <c r="S91" s="15">
        <v>28.0</v>
      </c>
      <c r="T91" s="15">
        <v>20.0</v>
      </c>
      <c r="U91" s="20">
        <f t="shared" si="4"/>
        <v>0.7142857143</v>
      </c>
      <c r="V91" s="15">
        <f t="shared" si="5"/>
        <v>8</v>
      </c>
      <c r="W91" s="15">
        <v>28.0</v>
      </c>
      <c r="X91" s="20">
        <f t="shared" si="6"/>
        <v>1</v>
      </c>
      <c r="Y91" s="15">
        <f t="shared" ref="Y91:Z91" si="186">AE91-W91</f>
        <v>0</v>
      </c>
      <c r="Z91" s="20">
        <f t="shared" si="186"/>
        <v>0</v>
      </c>
      <c r="AA91" s="15">
        <v>28.0</v>
      </c>
      <c r="AB91" s="20">
        <f t="shared" si="8"/>
        <v>1</v>
      </c>
      <c r="AC91" s="15">
        <f t="shared" ref="AC91:AD91" si="187">AE91-AA91</f>
        <v>0</v>
      </c>
      <c r="AD91" s="20">
        <f t="shared" si="187"/>
        <v>0</v>
      </c>
      <c r="AE91" s="15">
        <v>28.0</v>
      </c>
      <c r="AF91" s="20">
        <f t="shared" si="10"/>
        <v>1</v>
      </c>
      <c r="AG91" s="15">
        <v>28.0</v>
      </c>
      <c r="AH91" s="20">
        <f t="shared" si="11"/>
        <v>1</v>
      </c>
      <c r="AI91" s="15">
        <v>28.0</v>
      </c>
      <c r="AJ91" s="15">
        <v>0.0</v>
      </c>
      <c r="AK91" s="21">
        <v>0.0</v>
      </c>
      <c r="AL91" s="22">
        <v>1.0</v>
      </c>
      <c r="AM91" s="15">
        <v>0.0</v>
      </c>
      <c r="AN91" s="15">
        <v>0.0</v>
      </c>
      <c r="AO91" s="23" t="s">
        <v>64</v>
      </c>
      <c r="AP91" s="23" t="s">
        <v>64</v>
      </c>
      <c r="AQ91" s="13" t="s">
        <v>77</v>
      </c>
      <c r="AR91" s="24" t="s">
        <v>66</v>
      </c>
      <c r="AS91" s="24"/>
      <c r="AT91" s="25" t="s">
        <v>375</v>
      </c>
      <c r="AU91" s="26" t="s">
        <v>68</v>
      </c>
      <c r="AV91" s="27"/>
      <c r="AW91" s="24" t="s">
        <v>69</v>
      </c>
      <c r="AX91" s="27"/>
      <c r="AY91" s="29" t="s">
        <v>173</v>
      </c>
      <c r="AZ91" s="37"/>
      <c r="BA91" s="28"/>
      <c r="BB91" s="26" t="s">
        <v>90</v>
      </c>
      <c r="BC91" s="27"/>
      <c r="BD91" s="24" t="s">
        <v>91</v>
      </c>
      <c r="BE91" s="58"/>
      <c r="BF91" s="27"/>
      <c r="BG91" s="27"/>
      <c r="BH91" s="27"/>
    </row>
    <row r="92" ht="14.25" customHeight="1">
      <c r="A92" s="12" t="s">
        <v>376</v>
      </c>
      <c r="B92" s="12"/>
      <c r="C92" s="13"/>
      <c r="D92" s="14"/>
      <c r="E92" s="15"/>
      <c r="F92" s="15"/>
      <c r="G92" s="12"/>
      <c r="H92" s="16"/>
      <c r="I92" s="17">
        <v>0.1452</v>
      </c>
      <c r="J92" s="18"/>
      <c r="K92" s="18" t="s">
        <v>62</v>
      </c>
      <c r="L92" s="18" t="s">
        <v>76</v>
      </c>
      <c r="M92" s="18" t="s">
        <v>62</v>
      </c>
      <c r="N92" s="18"/>
      <c r="O92" s="18" t="s">
        <v>60</v>
      </c>
      <c r="P92" s="18" t="s">
        <v>60</v>
      </c>
      <c r="Q92" s="19" t="s">
        <v>60</v>
      </c>
      <c r="R92" s="15">
        <f t="shared" si="3"/>
        <v>0</v>
      </c>
      <c r="S92" s="15">
        <v>47.0</v>
      </c>
      <c r="T92" s="15">
        <v>5.0</v>
      </c>
      <c r="U92" s="20">
        <f t="shared" si="4"/>
        <v>0.1063829787</v>
      </c>
      <c r="V92" s="15">
        <f t="shared" si="5"/>
        <v>27</v>
      </c>
      <c r="W92" s="15">
        <v>32.0</v>
      </c>
      <c r="X92" s="20">
        <f t="shared" si="6"/>
        <v>0.6808510638</v>
      </c>
      <c r="Y92" s="15">
        <f t="shared" ref="Y92:Z92" si="188">AE92-W92</f>
        <v>0</v>
      </c>
      <c r="Z92" s="20">
        <f t="shared" si="188"/>
        <v>0</v>
      </c>
      <c r="AA92" s="15">
        <v>32.0</v>
      </c>
      <c r="AB92" s="20">
        <f t="shared" si="8"/>
        <v>0.6808510638</v>
      </c>
      <c r="AC92" s="15">
        <f t="shared" ref="AC92:AD92" si="189">AE92-AA92</f>
        <v>0</v>
      </c>
      <c r="AD92" s="20">
        <f t="shared" si="189"/>
        <v>0</v>
      </c>
      <c r="AE92" s="15">
        <v>32.0</v>
      </c>
      <c r="AF92" s="20">
        <f t="shared" si="10"/>
        <v>0.6808510638</v>
      </c>
      <c r="AG92" s="15">
        <v>32.0</v>
      </c>
      <c r="AH92" s="20">
        <f t="shared" si="11"/>
        <v>0.6808510638</v>
      </c>
      <c r="AI92" s="15">
        <v>32.0</v>
      </c>
      <c r="AJ92" s="15">
        <v>0.0</v>
      </c>
      <c r="AK92" s="21">
        <v>0.0</v>
      </c>
      <c r="AL92" s="22">
        <v>0.680851063829787</v>
      </c>
      <c r="AM92" s="15">
        <v>15.0</v>
      </c>
      <c r="AN92" s="15">
        <v>15.0</v>
      </c>
      <c r="AO92" s="23" t="s">
        <v>64</v>
      </c>
      <c r="AP92" s="23" t="s">
        <v>64</v>
      </c>
      <c r="AQ92" s="13" t="s">
        <v>108</v>
      </c>
      <c r="AR92" s="24" t="s">
        <v>66</v>
      </c>
      <c r="AS92" s="24"/>
      <c r="AT92" s="25" t="s">
        <v>377</v>
      </c>
      <c r="AU92" s="26" t="s">
        <v>68</v>
      </c>
      <c r="AV92" s="27"/>
      <c r="AW92" s="24" t="s">
        <v>69</v>
      </c>
      <c r="AX92" s="28"/>
      <c r="AY92" s="29" t="s">
        <v>70</v>
      </c>
      <c r="AZ92" s="30"/>
      <c r="BA92" s="25" t="s">
        <v>378</v>
      </c>
      <c r="BB92" s="26" t="s">
        <v>72</v>
      </c>
      <c r="BC92" s="27"/>
      <c r="BD92" s="24" t="s">
        <v>112</v>
      </c>
      <c r="BE92" s="27"/>
      <c r="BF92" s="27"/>
      <c r="BG92" s="27"/>
      <c r="BH92" s="27"/>
    </row>
    <row r="93" ht="14.25" customHeight="1">
      <c r="A93" s="12" t="s">
        <v>379</v>
      </c>
      <c r="B93" s="12"/>
      <c r="C93" s="13"/>
      <c r="D93" s="14"/>
      <c r="E93" s="15"/>
      <c r="F93" s="15"/>
      <c r="G93" s="12"/>
      <c r="H93" s="16"/>
      <c r="I93" s="17">
        <v>0.08</v>
      </c>
      <c r="J93" s="18"/>
      <c r="K93" s="18"/>
      <c r="L93" s="18" t="s">
        <v>84</v>
      </c>
      <c r="M93" s="18" t="s">
        <v>202</v>
      </c>
      <c r="N93" s="18" t="s">
        <v>62</v>
      </c>
      <c r="O93" s="18" t="s">
        <v>86</v>
      </c>
      <c r="P93" s="18" t="s">
        <v>129</v>
      </c>
      <c r="Q93" s="19" t="s">
        <v>60</v>
      </c>
      <c r="R93" s="15">
        <f t="shared" si="3"/>
        <v>0</v>
      </c>
      <c r="S93" s="15">
        <v>55.0</v>
      </c>
      <c r="T93" s="15">
        <v>0.0</v>
      </c>
      <c r="U93" s="20">
        <f t="shared" si="4"/>
        <v>0</v>
      </c>
      <c r="V93" s="15">
        <f t="shared" si="5"/>
        <v>27</v>
      </c>
      <c r="W93" s="15">
        <v>0.0</v>
      </c>
      <c r="X93" s="20">
        <f t="shared" si="6"/>
        <v>0</v>
      </c>
      <c r="Y93" s="15">
        <f t="shared" ref="Y93:Z93" si="190">AE93-W93</f>
        <v>16</v>
      </c>
      <c r="Z93" s="20">
        <f t="shared" si="190"/>
        <v>0.2909090909</v>
      </c>
      <c r="AA93" s="15">
        <v>16.0</v>
      </c>
      <c r="AB93" s="20">
        <f t="shared" si="8"/>
        <v>0.2909090909</v>
      </c>
      <c r="AC93" s="15">
        <f t="shared" ref="AC93:AD93" si="191">AE93-AA93</f>
        <v>0</v>
      </c>
      <c r="AD93" s="20">
        <f t="shared" si="191"/>
        <v>0</v>
      </c>
      <c r="AE93" s="15">
        <v>16.0</v>
      </c>
      <c r="AF93" s="20">
        <f t="shared" si="10"/>
        <v>0.2909090909</v>
      </c>
      <c r="AG93" s="15">
        <v>16.0</v>
      </c>
      <c r="AH93" s="20">
        <f t="shared" si="11"/>
        <v>0.2909090909</v>
      </c>
      <c r="AI93" s="15">
        <v>27.0</v>
      </c>
      <c r="AJ93" s="15">
        <v>1.0</v>
      </c>
      <c r="AK93" s="21">
        <v>0.0</v>
      </c>
      <c r="AL93" s="22">
        <v>0.509090909090909</v>
      </c>
      <c r="AM93" s="15">
        <v>27.0</v>
      </c>
      <c r="AN93" s="15">
        <v>26.0</v>
      </c>
      <c r="AO93" s="23" t="s">
        <v>64</v>
      </c>
      <c r="AP93" s="23" t="s">
        <v>64</v>
      </c>
      <c r="AQ93" s="13" t="e">
        <v>#N/A</v>
      </c>
      <c r="AR93" s="24" t="s">
        <v>66</v>
      </c>
      <c r="AS93" s="24"/>
      <c r="AT93" s="25" t="s">
        <v>380</v>
      </c>
      <c r="AU93" s="26" t="s">
        <v>88</v>
      </c>
      <c r="AV93" s="27"/>
      <c r="AW93" s="24" t="s">
        <v>79</v>
      </c>
      <c r="AX93" s="27"/>
      <c r="AY93" s="29" t="s">
        <v>134</v>
      </c>
      <c r="AZ93" s="37"/>
      <c r="BA93" s="28"/>
      <c r="BB93" s="26" t="s">
        <v>90</v>
      </c>
      <c r="BC93" s="27"/>
      <c r="BD93" s="34" t="s">
        <v>91</v>
      </c>
      <c r="BE93" s="38"/>
      <c r="BF93" s="27"/>
      <c r="BG93" s="27"/>
      <c r="BH93" s="27"/>
    </row>
    <row r="94" ht="14.25" customHeight="1">
      <c r="A94" s="12" t="s">
        <v>381</v>
      </c>
      <c r="B94" s="12"/>
      <c r="C94" s="13"/>
      <c r="D94" s="14"/>
      <c r="E94" s="15"/>
      <c r="F94" s="15"/>
      <c r="G94" s="12"/>
      <c r="H94" s="16"/>
      <c r="I94" s="17">
        <v>1.0</v>
      </c>
      <c r="J94" s="18"/>
      <c r="K94" s="18"/>
      <c r="L94" s="18" t="s">
        <v>270</v>
      </c>
      <c r="M94" s="18" t="s">
        <v>60</v>
      </c>
      <c r="N94" s="18"/>
      <c r="O94" s="18" t="s">
        <v>60</v>
      </c>
      <c r="P94" s="18" t="s">
        <v>60</v>
      </c>
      <c r="Q94" s="19" t="s">
        <v>60</v>
      </c>
      <c r="R94" s="15">
        <f t="shared" si="3"/>
        <v>0</v>
      </c>
      <c r="S94" s="15">
        <v>15.0</v>
      </c>
      <c r="T94" s="15">
        <v>15.0</v>
      </c>
      <c r="U94" s="20">
        <f t="shared" si="4"/>
        <v>1</v>
      </c>
      <c r="V94" s="15">
        <f t="shared" si="5"/>
        <v>0</v>
      </c>
      <c r="W94" s="15">
        <v>15.0</v>
      </c>
      <c r="X94" s="20">
        <f t="shared" si="6"/>
        <v>1</v>
      </c>
      <c r="Y94" s="15">
        <f t="shared" ref="Y94:Z94" si="192">AE94-W94</f>
        <v>0</v>
      </c>
      <c r="Z94" s="20">
        <f t="shared" si="192"/>
        <v>0</v>
      </c>
      <c r="AA94" s="15">
        <v>15.0</v>
      </c>
      <c r="AB94" s="20">
        <f t="shared" si="8"/>
        <v>1</v>
      </c>
      <c r="AC94" s="15">
        <f t="shared" ref="AC94:AD94" si="193">AE94-AA94</f>
        <v>0</v>
      </c>
      <c r="AD94" s="20">
        <f t="shared" si="193"/>
        <v>0</v>
      </c>
      <c r="AE94" s="15">
        <v>15.0</v>
      </c>
      <c r="AF94" s="20">
        <f t="shared" si="10"/>
        <v>1</v>
      </c>
      <c r="AG94" s="15">
        <v>15.0</v>
      </c>
      <c r="AH94" s="20">
        <f t="shared" si="11"/>
        <v>1</v>
      </c>
      <c r="AI94" s="15">
        <v>15.0</v>
      </c>
      <c r="AJ94" s="15">
        <v>0.0</v>
      </c>
      <c r="AK94" s="21">
        <v>0.0</v>
      </c>
      <c r="AL94" s="22">
        <v>1.0</v>
      </c>
      <c r="AM94" s="15">
        <v>0.0</v>
      </c>
      <c r="AN94" s="15">
        <v>0.0</v>
      </c>
      <c r="AO94" s="23" t="s">
        <v>63</v>
      </c>
      <c r="AP94" s="23" t="s">
        <v>64</v>
      </c>
      <c r="AQ94" s="13" t="s">
        <v>65</v>
      </c>
      <c r="AR94" s="24" t="s">
        <v>66</v>
      </c>
      <c r="AS94" s="24"/>
      <c r="AT94" s="25" t="s">
        <v>382</v>
      </c>
      <c r="AU94" s="26" t="s">
        <v>68</v>
      </c>
      <c r="AV94" s="27"/>
      <c r="AW94" s="24" t="s">
        <v>100</v>
      </c>
      <c r="AX94" s="27"/>
      <c r="AY94" s="29" t="s">
        <v>173</v>
      </c>
      <c r="AZ94" s="33"/>
      <c r="BA94" s="28"/>
      <c r="BB94" s="26" t="s">
        <v>90</v>
      </c>
      <c r="BC94" s="27"/>
      <c r="BD94" s="24" t="s">
        <v>91</v>
      </c>
      <c r="BE94" s="72"/>
      <c r="BF94" s="27"/>
      <c r="BG94" s="27"/>
      <c r="BH94" s="27"/>
    </row>
    <row r="95" ht="14.25" customHeight="1">
      <c r="A95" s="12" t="s">
        <v>383</v>
      </c>
      <c r="B95" s="12"/>
      <c r="C95" s="13"/>
      <c r="D95" s="14"/>
      <c r="E95" s="15"/>
      <c r="F95" s="19"/>
      <c r="G95" s="39"/>
      <c r="H95" s="18"/>
      <c r="I95" s="17">
        <v>0.6</v>
      </c>
      <c r="J95" s="18"/>
      <c r="K95" s="18" t="s">
        <v>75</v>
      </c>
      <c r="L95" s="18" t="s">
        <v>76</v>
      </c>
      <c r="M95" s="18" t="s">
        <v>62</v>
      </c>
      <c r="N95" s="18"/>
      <c r="O95" s="18" t="s">
        <v>384</v>
      </c>
      <c r="P95" s="18" t="s">
        <v>86</v>
      </c>
      <c r="Q95" s="19" t="s">
        <v>60</v>
      </c>
      <c r="R95" s="15">
        <f t="shared" si="3"/>
        <v>0</v>
      </c>
      <c r="S95" s="15">
        <v>108.0</v>
      </c>
      <c r="T95" s="15">
        <v>67.0</v>
      </c>
      <c r="U95" s="20">
        <f t="shared" si="4"/>
        <v>0.6203703704</v>
      </c>
      <c r="V95" s="15">
        <f t="shared" si="5"/>
        <v>41</v>
      </c>
      <c r="W95" s="15">
        <v>103.0</v>
      </c>
      <c r="X95" s="20">
        <f t="shared" si="6"/>
        <v>0.9537037037</v>
      </c>
      <c r="Y95" s="15">
        <f t="shared" ref="Y95:Z95" si="194">AE95-W95</f>
        <v>5</v>
      </c>
      <c r="Z95" s="20">
        <f t="shared" si="194"/>
        <v>0.0462962963</v>
      </c>
      <c r="AA95" s="15">
        <v>108.0</v>
      </c>
      <c r="AB95" s="20">
        <f t="shared" si="8"/>
        <v>1</v>
      </c>
      <c r="AC95" s="15">
        <f t="shared" ref="AC95:AD95" si="195">AE95-AA95</f>
        <v>0</v>
      </c>
      <c r="AD95" s="20">
        <f t="shared" si="195"/>
        <v>0</v>
      </c>
      <c r="AE95" s="15">
        <v>108.0</v>
      </c>
      <c r="AF95" s="20">
        <f t="shared" si="10"/>
        <v>1</v>
      </c>
      <c r="AG95" s="15">
        <v>108.0</v>
      </c>
      <c r="AH95" s="20">
        <f t="shared" si="11"/>
        <v>1</v>
      </c>
      <c r="AI95" s="15">
        <v>108.0</v>
      </c>
      <c r="AJ95" s="15">
        <v>0.0</v>
      </c>
      <c r="AK95" s="21">
        <v>0.0</v>
      </c>
      <c r="AL95" s="22">
        <v>1.0</v>
      </c>
      <c r="AM95" s="15">
        <v>0.0</v>
      </c>
      <c r="AN95" s="15">
        <v>0.0</v>
      </c>
      <c r="AO95" s="23" t="s">
        <v>64</v>
      </c>
      <c r="AP95" s="23" t="s">
        <v>64</v>
      </c>
      <c r="AQ95" s="13" t="s">
        <v>65</v>
      </c>
      <c r="AR95" s="24" t="s">
        <v>66</v>
      </c>
      <c r="AS95" s="24"/>
      <c r="AT95" s="25" t="s">
        <v>385</v>
      </c>
      <c r="AU95" s="26" t="s">
        <v>386</v>
      </c>
      <c r="AV95" s="27"/>
      <c r="AW95" s="27"/>
      <c r="AX95" s="28"/>
      <c r="AY95" s="29" t="s">
        <v>250</v>
      </c>
      <c r="AZ95" s="37"/>
      <c r="BA95" s="28"/>
      <c r="BB95" s="26"/>
      <c r="BC95" s="27"/>
      <c r="BD95" s="24"/>
      <c r="BE95" s="58"/>
      <c r="BF95" s="27"/>
      <c r="BG95" s="27"/>
      <c r="BH95" s="27"/>
    </row>
    <row r="96" ht="14.25" customHeight="1">
      <c r="A96" s="12" t="s">
        <v>387</v>
      </c>
      <c r="B96" s="12"/>
      <c r="C96" s="13"/>
      <c r="D96" s="14"/>
      <c r="E96" s="15"/>
      <c r="F96" s="19"/>
      <c r="G96" s="39"/>
      <c r="H96" s="18"/>
      <c r="I96" s="17">
        <v>0.2752</v>
      </c>
      <c r="J96" s="18"/>
      <c r="K96" s="18" t="s">
        <v>84</v>
      </c>
      <c r="L96" s="18" t="s">
        <v>388</v>
      </c>
      <c r="M96" s="18" t="s">
        <v>62</v>
      </c>
      <c r="N96" s="18"/>
      <c r="O96" s="18" t="s">
        <v>120</v>
      </c>
      <c r="P96" s="18" t="s">
        <v>120</v>
      </c>
      <c r="Q96" s="19" t="s">
        <v>120</v>
      </c>
      <c r="R96" s="15">
        <f t="shared" si="3"/>
        <v>0</v>
      </c>
      <c r="S96" s="15">
        <v>94.0</v>
      </c>
      <c r="T96" s="15">
        <v>21.0</v>
      </c>
      <c r="U96" s="20">
        <f t="shared" si="4"/>
        <v>0.2234042553</v>
      </c>
      <c r="V96" s="15">
        <f t="shared" si="5"/>
        <v>5</v>
      </c>
      <c r="W96" s="15">
        <v>27.0</v>
      </c>
      <c r="X96" s="20">
        <f t="shared" si="6"/>
        <v>0.2872340426</v>
      </c>
      <c r="Y96" s="15">
        <f t="shared" ref="Y96:Z96" si="196">AE96-W96</f>
        <v>-1</v>
      </c>
      <c r="Z96" s="20">
        <f t="shared" si="196"/>
        <v>-0.01063829787</v>
      </c>
      <c r="AA96" s="15">
        <v>27.0</v>
      </c>
      <c r="AB96" s="20">
        <f t="shared" si="8"/>
        <v>0.2872340426</v>
      </c>
      <c r="AC96" s="15">
        <f t="shared" ref="AC96:AD96" si="197">AE96-AA96</f>
        <v>-1</v>
      </c>
      <c r="AD96" s="20">
        <f t="shared" si="197"/>
        <v>-0.01063829787</v>
      </c>
      <c r="AE96" s="15">
        <v>26.0</v>
      </c>
      <c r="AF96" s="20">
        <f t="shared" si="10"/>
        <v>0.2765957447</v>
      </c>
      <c r="AG96" s="15">
        <v>26.0</v>
      </c>
      <c r="AH96" s="20">
        <f t="shared" si="11"/>
        <v>0.2765957447</v>
      </c>
      <c r="AI96" s="15">
        <v>26.0</v>
      </c>
      <c r="AJ96" s="15">
        <v>0.0</v>
      </c>
      <c r="AK96" s="21">
        <v>0.0</v>
      </c>
      <c r="AL96" s="22">
        <v>0.276595744680851</v>
      </c>
      <c r="AM96" s="15">
        <v>52.0</v>
      </c>
      <c r="AN96" s="15">
        <v>34.0</v>
      </c>
      <c r="AO96" s="23" t="s">
        <v>64</v>
      </c>
      <c r="AP96" s="23" t="s">
        <v>64</v>
      </c>
      <c r="AQ96" s="13" t="s">
        <v>108</v>
      </c>
      <c r="AR96" s="24" t="s">
        <v>66</v>
      </c>
      <c r="AS96" s="24"/>
      <c r="AT96" s="25" t="s">
        <v>389</v>
      </c>
      <c r="AU96" s="26" t="s">
        <v>253</v>
      </c>
      <c r="AV96" s="27"/>
      <c r="AW96" s="24" t="s">
        <v>133</v>
      </c>
      <c r="AX96" s="42">
        <v>46002.0</v>
      </c>
      <c r="AY96" s="29" t="s">
        <v>122</v>
      </c>
      <c r="AZ96" s="30"/>
      <c r="BA96" s="25" t="s">
        <v>390</v>
      </c>
      <c r="BB96" s="26" t="s">
        <v>239</v>
      </c>
      <c r="BC96" s="27"/>
      <c r="BD96" s="24" t="s">
        <v>307</v>
      </c>
      <c r="BE96" s="25" t="s">
        <v>391</v>
      </c>
      <c r="BF96" s="27"/>
      <c r="BG96" s="27"/>
      <c r="BH96" s="27"/>
    </row>
    <row r="97" ht="14.25" customHeight="1">
      <c r="A97" s="12" t="s">
        <v>392</v>
      </c>
      <c r="B97" s="12"/>
      <c r="C97" s="13"/>
      <c r="D97" s="14"/>
      <c r="E97" s="15"/>
      <c r="F97" s="15"/>
      <c r="G97" s="12"/>
      <c r="H97" s="16"/>
      <c r="I97" s="17">
        <v>0.2727</v>
      </c>
      <c r="J97" s="18"/>
      <c r="K97" s="18" t="s">
        <v>62</v>
      </c>
      <c r="L97" s="18" t="s">
        <v>62</v>
      </c>
      <c r="M97" s="18" t="s">
        <v>62</v>
      </c>
      <c r="N97" s="18"/>
      <c r="O97" s="18" t="s">
        <v>62</v>
      </c>
      <c r="P97" s="19" t="s">
        <v>62</v>
      </c>
      <c r="Q97" s="19" t="s">
        <v>86</v>
      </c>
      <c r="R97" s="15">
        <f t="shared" si="3"/>
        <v>0</v>
      </c>
      <c r="S97" s="15">
        <v>17.0</v>
      </c>
      <c r="T97" s="15">
        <v>5.0</v>
      </c>
      <c r="U97" s="20">
        <f t="shared" si="4"/>
        <v>0.2941176471</v>
      </c>
      <c r="V97" s="15">
        <f t="shared" si="5"/>
        <v>12</v>
      </c>
      <c r="W97" s="15">
        <v>5.0</v>
      </c>
      <c r="X97" s="20">
        <f t="shared" si="6"/>
        <v>0.2941176471</v>
      </c>
      <c r="Y97" s="15">
        <f t="shared" ref="Y97:Z97" si="198">AE97-W97</f>
        <v>12</v>
      </c>
      <c r="Z97" s="20">
        <f t="shared" si="198"/>
        <v>0.7058823529</v>
      </c>
      <c r="AA97" s="15">
        <v>5.0</v>
      </c>
      <c r="AB97" s="20">
        <f t="shared" si="8"/>
        <v>0.2941176471</v>
      </c>
      <c r="AC97" s="15">
        <f t="shared" ref="AC97:AD97" si="199">AE97-AA97</f>
        <v>12</v>
      </c>
      <c r="AD97" s="20">
        <f t="shared" si="199"/>
        <v>0.7058823529</v>
      </c>
      <c r="AE97" s="15">
        <v>17.0</v>
      </c>
      <c r="AF97" s="20">
        <f t="shared" si="10"/>
        <v>1</v>
      </c>
      <c r="AG97" s="15">
        <v>17.0</v>
      </c>
      <c r="AH97" s="20">
        <f t="shared" si="11"/>
        <v>1</v>
      </c>
      <c r="AI97" s="15">
        <v>17.0</v>
      </c>
      <c r="AJ97" s="15">
        <v>0.0</v>
      </c>
      <c r="AK97" s="21">
        <v>0.0</v>
      </c>
      <c r="AL97" s="22">
        <v>1.0</v>
      </c>
      <c r="AM97" s="15">
        <v>0.0</v>
      </c>
      <c r="AN97" s="15">
        <v>0.0</v>
      </c>
      <c r="AO97" s="23" t="s">
        <v>63</v>
      </c>
      <c r="AP97" s="23" t="s">
        <v>64</v>
      </c>
      <c r="AQ97" s="13" t="s">
        <v>108</v>
      </c>
      <c r="AR97" s="24" t="s">
        <v>66</v>
      </c>
      <c r="AS97" s="24"/>
      <c r="AT97" s="25" t="s">
        <v>393</v>
      </c>
      <c r="AU97" s="26" t="s">
        <v>68</v>
      </c>
      <c r="AV97" s="27"/>
      <c r="AW97" s="24" t="s">
        <v>69</v>
      </c>
      <c r="AX97" s="27"/>
      <c r="AY97" s="29" t="s">
        <v>394</v>
      </c>
      <c r="AZ97" s="37"/>
      <c r="BA97" s="28"/>
      <c r="BB97" s="26" t="s">
        <v>90</v>
      </c>
      <c r="BC97" s="27"/>
      <c r="BD97" s="34" t="s">
        <v>91</v>
      </c>
      <c r="BE97" s="38"/>
      <c r="BF97" s="27"/>
      <c r="BG97" s="27"/>
      <c r="BH97" s="27"/>
    </row>
    <row r="98" ht="14.25" customHeight="1">
      <c r="A98" s="12" t="s">
        <v>395</v>
      </c>
      <c r="B98" s="12"/>
      <c r="C98" s="13"/>
      <c r="D98" s="14"/>
      <c r="E98" s="15"/>
      <c r="F98" s="15"/>
      <c r="G98" s="12"/>
      <c r="H98" s="16"/>
      <c r="I98" s="17">
        <v>0.0625</v>
      </c>
      <c r="J98" s="18"/>
      <c r="K98" s="18"/>
      <c r="L98" s="18" t="s">
        <v>129</v>
      </c>
      <c r="M98" s="18" t="s">
        <v>129</v>
      </c>
      <c r="N98" s="18"/>
      <c r="O98" s="18" t="s">
        <v>62</v>
      </c>
      <c r="P98" s="18" t="s">
        <v>62</v>
      </c>
      <c r="Q98" s="18" t="s">
        <v>62</v>
      </c>
      <c r="R98" s="15">
        <f t="shared" si="3"/>
        <v>0</v>
      </c>
      <c r="S98" s="15">
        <v>55.0</v>
      </c>
      <c r="T98" s="15">
        <v>2.0</v>
      </c>
      <c r="U98" s="20">
        <f t="shared" si="4"/>
        <v>0.03636363636</v>
      </c>
      <c r="V98" s="15">
        <f t="shared" si="5"/>
        <v>23</v>
      </c>
      <c r="W98" s="15">
        <v>2.0</v>
      </c>
      <c r="X98" s="20">
        <f t="shared" si="6"/>
        <v>0.03636363636</v>
      </c>
      <c r="Y98" s="15">
        <f t="shared" ref="Y98:Z98" si="200">AE98-W98</f>
        <v>24</v>
      </c>
      <c r="Z98" s="20">
        <f t="shared" si="200"/>
        <v>0.4363636364</v>
      </c>
      <c r="AA98" s="15">
        <v>2.0</v>
      </c>
      <c r="AB98" s="20">
        <f t="shared" si="8"/>
        <v>0.03636363636</v>
      </c>
      <c r="AC98" s="15">
        <f t="shared" ref="AC98:AD98" si="201">AE98-AA98</f>
        <v>24</v>
      </c>
      <c r="AD98" s="20">
        <f t="shared" si="201"/>
        <v>0.4363636364</v>
      </c>
      <c r="AE98" s="15">
        <v>26.0</v>
      </c>
      <c r="AF98" s="20">
        <f t="shared" si="10"/>
        <v>0.4727272727</v>
      </c>
      <c r="AG98" s="15">
        <v>26.0</v>
      </c>
      <c r="AH98" s="20">
        <f t="shared" si="11"/>
        <v>0.4727272727</v>
      </c>
      <c r="AI98" s="15">
        <v>25.0</v>
      </c>
      <c r="AJ98" s="15">
        <v>1.0</v>
      </c>
      <c r="AK98" s="21">
        <v>0.0</v>
      </c>
      <c r="AL98" s="22">
        <v>0.472727272727273</v>
      </c>
      <c r="AM98" s="15">
        <v>30.0</v>
      </c>
      <c r="AN98" s="15">
        <v>29.0</v>
      </c>
      <c r="AO98" s="23" t="s">
        <v>64</v>
      </c>
      <c r="AP98" s="23" t="s">
        <v>64</v>
      </c>
      <c r="AQ98" s="13" t="s">
        <v>65</v>
      </c>
      <c r="AR98" s="24" t="s">
        <v>66</v>
      </c>
      <c r="AS98" s="24"/>
      <c r="AT98" s="25" t="s">
        <v>396</v>
      </c>
      <c r="AU98" s="26" t="s">
        <v>68</v>
      </c>
      <c r="AV98" s="27"/>
      <c r="AW98" s="24" t="s">
        <v>69</v>
      </c>
      <c r="AX98" s="28"/>
      <c r="AY98" s="29" t="s">
        <v>89</v>
      </c>
      <c r="AZ98" s="33"/>
      <c r="BA98" s="28"/>
      <c r="BB98" s="26" t="s">
        <v>90</v>
      </c>
      <c r="BC98" s="27"/>
      <c r="BD98" s="34" t="s">
        <v>91</v>
      </c>
      <c r="BE98" s="35"/>
      <c r="BF98" s="27"/>
      <c r="BG98" s="27"/>
      <c r="BH98" s="27"/>
    </row>
    <row r="99" ht="14.25" customHeight="1">
      <c r="A99" s="12" t="s">
        <v>397</v>
      </c>
      <c r="B99" s="12"/>
      <c r="C99" s="13"/>
      <c r="D99" s="14"/>
      <c r="E99" s="15"/>
      <c r="F99" s="15"/>
      <c r="G99" s="12"/>
      <c r="H99" s="16"/>
      <c r="I99" s="17">
        <v>0.0</v>
      </c>
      <c r="J99" s="18"/>
      <c r="K99" s="18"/>
      <c r="L99" s="18" t="s">
        <v>84</v>
      </c>
      <c r="M99" s="18" t="s">
        <v>84</v>
      </c>
      <c r="N99" s="18"/>
      <c r="O99" s="18" t="s">
        <v>84</v>
      </c>
      <c r="P99" s="18" t="s">
        <v>84</v>
      </c>
      <c r="Q99" s="19" t="s">
        <v>84</v>
      </c>
      <c r="R99" s="15">
        <f t="shared" si="3"/>
        <v>0</v>
      </c>
      <c r="S99" s="15">
        <v>64.0</v>
      </c>
      <c r="T99" s="15">
        <v>0.0</v>
      </c>
      <c r="U99" s="20">
        <f t="shared" si="4"/>
        <v>0</v>
      </c>
      <c r="V99" s="15">
        <f t="shared" si="5"/>
        <v>33</v>
      </c>
      <c r="W99" s="15">
        <v>0.0</v>
      </c>
      <c r="X99" s="20">
        <f t="shared" si="6"/>
        <v>0</v>
      </c>
      <c r="Y99" s="15">
        <f t="shared" ref="Y99:Z99" si="202">AE99-W99</f>
        <v>33</v>
      </c>
      <c r="Z99" s="20">
        <f t="shared" si="202"/>
        <v>0.515625</v>
      </c>
      <c r="AA99" s="15">
        <v>0.0</v>
      </c>
      <c r="AB99" s="20">
        <f t="shared" si="8"/>
        <v>0</v>
      </c>
      <c r="AC99" s="15">
        <f t="shared" ref="AC99:AD99" si="203">AE99-AA99</f>
        <v>33</v>
      </c>
      <c r="AD99" s="20">
        <f t="shared" si="203"/>
        <v>0.515625</v>
      </c>
      <c r="AE99" s="15">
        <v>33.0</v>
      </c>
      <c r="AF99" s="20">
        <f t="shared" si="10"/>
        <v>0.515625</v>
      </c>
      <c r="AG99" s="15">
        <v>33.0</v>
      </c>
      <c r="AH99" s="20">
        <f t="shared" si="11"/>
        <v>0.515625</v>
      </c>
      <c r="AI99" s="15">
        <v>33.0</v>
      </c>
      <c r="AJ99" s="15">
        <v>0.0</v>
      </c>
      <c r="AK99" s="21">
        <v>0.0</v>
      </c>
      <c r="AL99" s="22">
        <v>0.515625</v>
      </c>
      <c r="AM99" s="15">
        <v>31.0</v>
      </c>
      <c r="AN99" s="15">
        <v>31.0</v>
      </c>
      <c r="AO99" s="23" t="s">
        <v>64</v>
      </c>
      <c r="AP99" s="23" t="s">
        <v>64</v>
      </c>
      <c r="AQ99" s="13" t="s">
        <v>108</v>
      </c>
      <c r="AR99" s="24" t="s">
        <v>66</v>
      </c>
      <c r="AS99" s="24"/>
      <c r="AT99" s="25" t="s">
        <v>398</v>
      </c>
      <c r="AU99" s="26" t="s">
        <v>106</v>
      </c>
      <c r="AV99" s="27"/>
      <c r="AW99" s="27"/>
      <c r="AX99" s="27"/>
      <c r="AY99" s="29" t="s">
        <v>89</v>
      </c>
      <c r="AZ99" s="37"/>
      <c r="BA99" s="28"/>
      <c r="BB99" s="26" t="s">
        <v>90</v>
      </c>
      <c r="BC99" s="27"/>
      <c r="BD99" s="34" t="s">
        <v>91</v>
      </c>
      <c r="BE99" s="38"/>
      <c r="BF99" s="27"/>
      <c r="BG99" s="27"/>
      <c r="BH99" s="27"/>
    </row>
    <row r="100" ht="14.25" customHeight="1">
      <c r="A100" s="119" t="s">
        <v>399</v>
      </c>
      <c r="B100" s="119"/>
      <c r="C100" s="120"/>
      <c r="D100" s="14"/>
      <c r="E100" s="15"/>
      <c r="F100" s="15"/>
      <c r="G100" s="12"/>
      <c r="H100" s="16"/>
      <c r="I100" s="17">
        <v>0.0</v>
      </c>
      <c r="J100" s="18"/>
      <c r="K100" s="18"/>
      <c r="L100" s="18" t="s">
        <v>84</v>
      </c>
      <c r="M100" s="18" t="s">
        <v>84</v>
      </c>
      <c r="N100" s="18" t="s">
        <v>84</v>
      </c>
      <c r="O100" s="18" t="s">
        <v>129</v>
      </c>
      <c r="P100" s="18" t="s">
        <v>400</v>
      </c>
      <c r="Q100" s="18" t="s">
        <v>129</v>
      </c>
      <c r="R100" s="15">
        <f t="shared" si="3"/>
        <v>0</v>
      </c>
      <c r="S100" s="15">
        <v>21.0</v>
      </c>
      <c r="T100" s="15">
        <v>0.0</v>
      </c>
      <c r="U100" s="20">
        <f t="shared" si="4"/>
        <v>0</v>
      </c>
      <c r="V100" s="15">
        <f t="shared" si="5"/>
        <v>8</v>
      </c>
      <c r="W100" s="15">
        <v>0.0</v>
      </c>
      <c r="X100" s="20">
        <f t="shared" si="6"/>
        <v>0</v>
      </c>
      <c r="Y100" s="15">
        <f t="shared" ref="Y100:Z100" si="204">AE100-W100</f>
        <v>21</v>
      </c>
      <c r="Z100" s="20">
        <f t="shared" si="204"/>
        <v>1</v>
      </c>
      <c r="AA100" s="15">
        <v>0.0</v>
      </c>
      <c r="AB100" s="20">
        <f t="shared" si="8"/>
        <v>0</v>
      </c>
      <c r="AC100" s="15">
        <f t="shared" ref="AC100:AD100" si="205">AE100-AA100</f>
        <v>21</v>
      </c>
      <c r="AD100" s="20">
        <f t="shared" si="205"/>
        <v>1</v>
      </c>
      <c r="AE100" s="15">
        <v>21.0</v>
      </c>
      <c r="AF100" s="20">
        <f t="shared" si="10"/>
        <v>1</v>
      </c>
      <c r="AG100" s="15">
        <v>21.0</v>
      </c>
      <c r="AH100" s="20">
        <f t="shared" si="11"/>
        <v>1</v>
      </c>
      <c r="AI100" s="15">
        <v>8.0</v>
      </c>
      <c r="AJ100" s="15">
        <v>13.0</v>
      </c>
      <c r="AK100" s="21">
        <v>0.0</v>
      </c>
      <c r="AL100" s="22">
        <v>1.0</v>
      </c>
      <c r="AM100" s="15">
        <v>13.0</v>
      </c>
      <c r="AN100" s="15">
        <v>0.0</v>
      </c>
      <c r="AO100" s="23" t="s">
        <v>63</v>
      </c>
      <c r="AP100" s="23" t="s">
        <v>64</v>
      </c>
      <c r="AQ100" s="13" t="e">
        <v>#N/A</v>
      </c>
      <c r="AR100" s="24" t="s">
        <v>66</v>
      </c>
      <c r="AS100" s="24"/>
      <c r="AT100" s="25" t="s">
        <v>401</v>
      </c>
      <c r="AU100" s="26" t="s">
        <v>68</v>
      </c>
      <c r="AV100" s="27"/>
      <c r="AW100" s="24" t="s">
        <v>69</v>
      </c>
      <c r="AX100" s="27"/>
      <c r="AY100" s="29" t="s">
        <v>148</v>
      </c>
      <c r="AZ100" s="121"/>
      <c r="BA100" s="25" t="s">
        <v>402</v>
      </c>
      <c r="BB100" s="26" t="s">
        <v>90</v>
      </c>
      <c r="BC100" s="27"/>
      <c r="BD100" s="24"/>
      <c r="BE100" s="25" t="s">
        <v>402</v>
      </c>
      <c r="BF100" s="27"/>
      <c r="BG100" s="27"/>
      <c r="BH100" s="27"/>
    </row>
    <row r="101" ht="14.25" customHeight="1">
      <c r="A101" s="12" t="s">
        <v>403</v>
      </c>
      <c r="B101" s="12"/>
      <c r="C101" s="13"/>
      <c r="D101" s="14"/>
      <c r="E101" s="15"/>
      <c r="F101" s="15"/>
      <c r="G101" s="12"/>
      <c r="H101" s="16"/>
      <c r="I101" s="17">
        <v>0.1148</v>
      </c>
      <c r="J101" s="18"/>
      <c r="K101" s="18" t="s">
        <v>62</v>
      </c>
      <c r="L101" s="18" t="s">
        <v>85</v>
      </c>
      <c r="M101" s="18" t="s">
        <v>62</v>
      </c>
      <c r="N101" s="18"/>
      <c r="O101" s="18" t="s">
        <v>60</v>
      </c>
      <c r="P101" s="18" t="s">
        <v>60</v>
      </c>
      <c r="Q101" s="19" t="s">
        <v>60</v>
      </c>
      <c r="R101" s="15">
        <f t="shared" si="3"/>
        <v>0</v>
      </c>
      <c r="S101" s="15">
        <v>41.0</v>
      </c>
      <c r="T101" s="15">
        <v>2.0</v>
      </c>
      <c r="U101" s="20">
        <f t="shared" si="4"/>
        <v>0.0487804878</v>
      </c>
      <c r="V101" s="15">
        <f t="shared" si="5"/>
        <v>13</v>
      </c>
      <c r="W101" s="15">
        <v>15.0</v>
      </c>
      <c r="X101" s="20">
        <f t="shared" si="6"/>
        <v>0.3658536585</v>
      </c>
      <c r="Y101" s="15">
        <f t="shared" ref="Y101:Z101" si="206">AE101-W101</f>
        <v>0</v>
      </c>
      <c r="Z101" s="20">
        <f t="shared" si="206"/>
        <v>0</v>
      </c>
      <c r="AA101" s="15">
        <v>15.0</v>
      </c>
      <c r="AB101" s="20">
        <f t="shared" si="8"/>
        <v>0.3658536585</v>
      </c>
      <c r="AC101" s="15">
        <f t="shared" ref="AC101:AD101" si="207">AE101-AA101</f>
        <v>0</v>
      </c>
      <c r="AD101" s="20">
        <f t="shared" si="207"/>
        <v>0</v>
      </c>
      <c r="AE101" s="15">
        <v>15.0</v>
      </c>
      <c r="AF101" s="20">
        <f t="shared" si="10"/>
        <v>0.3658536585</v>
      </c>
      <c r="AG101" s="15">
        <v>15.0</v>
      </c>
      <c r="AH101" s="20">
        <f t="shared" si="11"/>
        <v>0.3658536585</v>
      </c>
      <c r="AI101" s="15">
        <v>15.0</v>
      </c>
      <c r="AJ101" s="15">
        <v>0.0</v>
      </c>
      <c r="AK101" s="21">
        <v>0.0</v>
      </c>
      <c r="AL101" s="22">
        <v>0.365853658536585</v>
      </c>
      <c r="AM101" s="15">
        <v>10.0</v>
      </c>
      <c r="AN101" s="15">
        <v>26.0</v>
      </c>
      <c r="AO101" s="23" t="s">
        <v>63</v>
      </c>
      <c r="AP101" s="23" t="s">
        <v>64</v>
      </c>
      <c r="AQ101" s="13" t="s">
        <v>77</v>
      </c>
      <c r="AR101" s="24" t="s">
        <v>66</v>
      </c>
      <c r="AS101" s="24"/>
      <c r="AT101" s="25" t="s">
        <v>404</v>
      </c>
      <c r="AU101" s="26" t="s">
        <v>68</v>
      </c>
      <c r="AV101" s="27"/>
      <c r="AW101" s="24" t="s">
        <v>79</v>
      </c>
      <c r="AX101" s="28"/>
      <c r="AY101" s="29" t="s">
        <v>70</v>
      </c>
      <c r="AZ101" s="62"/>
      <c r="BA101" s="28"/>
      <c r="BB101" s="26" t="s">
        <v>90</v>
      </c>
      <c r="BC101" s="27"/>
      <c r="BD101" s="24"/>
      <c r="BE101" s="27"/>
      <c r="BF101" s="27"/>
      <c r="BG101" s="27"/>
      <c r="BH101" s="27"/>
    </row>
    <row r="102" ht="14.25" customHeight="1">
      <c r="A102" s="12" t="s">
        <v>405</v>
      </c>
      <c r="B102" s="12"/>
      <c r="C102" s="13"/>
      <c r="D102" s="14"/>
      <c r="E102" s="15"/>
      <c r="F102" s="15"/>
      <c r="G102" s="12"/>
      <c r="H102" s="16"/>
      <c r="I102" s="17">
        <v>1.0</v>
      </c>
      <c r="J102" s="18"/>
      <c r="K102" s="18"/>
      <c r="L102" s="18" t="s">
        <v>270</v>
      </c>
      <c r="M102" s="18" t="s">
        <v>60</v>
      </c>
      <c r="N102" s="18"/>
      <c r="O102" s="18" t="s">
        <v>60</v>
      </c>
      <c r="P102" s="18" t="s">
        <v>60</v>
      </c>
      <c r="Q102" s="19" t="s">
        <v>60</v>
      </c>
      <c r="R102" s="15">
        <f t="shared" si="3"/>
        <v>0</v>
      </c>
      <c r="S102" s="15">
        <v>22.0</v>
      </c>
      <c r="T102" s="15">
        <v>22.0</v>
      </c>
      <c r="U102" s="20">
        <f t="shared" si="4"/>
        <v>1</v>
      </c>
      <c r="V102" s="15">
        <f t="shared" si="5"/>
        <v>0</v>
      </c>
      <c r="W102" s="15">
        <v>22.0</v>
      </c>
      <c r="X102" s="20">
        <f t="shared" si="6"/>
        <v>1</v>
      </c>
      <c r="Y102" s="15">
        <f t="shared" ref="Y102:Z102" si="208">AE102-W102</f>
        <v>0</v>
      </c>
      <c r="Z102" s="20">
        <f t="shared" si="208"/>
        <v>0</v>
      </c>
      <c r="AA102" s="15">
        <v>22.0</v>
      </c>
      <c r="AB102" s="20">
        <f t="shared" si="8"/>
        <v>1</v>
      </c>
      <c r="AC102" s="15">
        <f t="shared" ref="AC102:AD102" si="209">AE102-AA102</f>
        <v>0</v>
      </c>
      <c r="AD102" s="20">
        <f t="shared" si="209"/>
        <v>0</v>
      </c>
      <c r="AE102" s="15">
        <v>22.0</v>
      </c>
      <c r="AF102" s="20">
        <f t="shared" si="10"/>
        <v>1</v>
      </c>
      <c r="AG102" s="15">
        <v>22.0</v>
      </c>
      <c r="AH102" s="20">
        <f t="shared" si="11"/>
        <v>1</v>
      </c>
      <c r="AI102" s="15">
        <v>22.0</v>
      </c>
      <c r="AJ102" s="15">
        <v>0.0</v>
      </c>
      <c r="AK102" s="21">
        <v>0.0</v>
      </c>
      <c r="AL102" s="22">
        <v>1.0</v>
      </c>
      <c r="AM102" s="15">
        <v>0.0</v>
      </c>
      <c r="AN102" s="15">
        <v>0.0</v>
      </c>
      <c r="AO102" s="23" t="s">
        <v>63</v>
      </c>
      <c r="AP102" s="23" t="s">
        <v>64</v>
      </c>
      <c r="AQ102" s="13" t="s">
        <v>104</v>
      </c>
      <c r="AR102" s="24" t="s">
        <v>66</v>
      </c>
      <c r="AS102" s="24"/>
      <c r="AT102" s="25" t="s">
        <v>406</v>
      </c>
      <c r="AU102" s="26" t="s">
        <v>407</v>
      </c>
      <c r="AV102" s="27"/>
      <c r="AW102" s="24" t="s">
        <v>133</v>
      </c>
      <c r="AX102" s="36">
        <v>45988.0</v>
      </c>
      <c r="AY102" s="29" t="s">
        <v>173</v>
      </c>
      <c r="AZ102" s="33"/>
      <c r="BA102" s="28"/>
      <c r="BB102" s="26" t="s">
        <v>90</v>
      </c>
      <c r="BC102" s="27"/>
      <c r="BD102" s="24"/>
      <c r="BE102" s="72"/>
      <c r="BF102" s="27"/>
      <c r="BG102" s="27"/>
      <c r="BH102" s="27"/>
    </row>
    <row r="103" ht="14.25" customHeight="1">
      <c r="A103" s="12" t="s">
        <v>408</v>
      </c>
      <c r="B103" s="12"/>
      <c r="C103" s="13"/>
      <c r="D103" s="14"/>
      <c r="E103" s="15"/>
      <c r="F103" s="15"/>
      <c r="G103" s="12"/>
      <c r="H103" s="16"/>
      <c r="I103" s="17">
        <v>0.0</v>
      </c>
      <c r="J103" s="18"/>
      <c r="K103" s="18"/>
      <c r="L103" s="18" t="s">
        <v>84</v>
      </c>
      <c r="M103" s="18" t="s">
        <v>84</v>
      </c>
      <c r="N103" s="18"/>
      <c r="O103" s="18" t="s">
        <v>60</v>
      </c>
      <c r="P103" s="18" t="s">
        <v>60</v>
      </c>
      <c r="Q103" s="19" t="s">
        <v>60</v>
      </c>
      <c r="R103" s="15">
        <f t="shared" si="3"/>
        <v>0</v>
      </c>
      <c r="S103" s="15">
        <v>59.0</v>
      </c>
      <c r="T103" s="15">
        <v>0.0</v>
      </c>
      <c r="U103" s="20">
        <f t="shared" si="4"/>
        <v>0</v>
      </c>
      <c r="V103" s="15">
        <f t="shared" si="5"/>
        <v>29</v>
      </c>
      <c r="W103" s="15">
        <v>29.0</v>
      </c>
      <c r="X103" s="20">
        <f t="shared" si="6"/>
        <v>0.4915254237</v>
      </c>
      <c r="Y103" s="15">
        <f t="shared" ref="Y103:Z103" si="210">AE103-W103</f>
        <v>0</v>
      </c>
      <c r="Z103" s="20">
        <f t="shared" si="210"/>
        <v>0</v>
      </c>
      <c r="AA103" s="15">
        <v>29.0</v>
      </c>
      <c r="AB103" s="20">
        <f t="shared" si="8"/>
        <v>0.4915254237</v>
      </c>
      <c r="AC103" s="15">
        <f t="shared" ref="AC103:AD103" si="211">AE103-AA103</f>
        <v>0</v>
      </c>
      <c r="AD103" s="20">
        <f t="shared" si="211"/>
        <v>0</v>
      </c>
      <c r="AE103" s="15">
        <v>29.0</v>
      </c>
      <c r="AF103" s="20">
        <f t="shared" si="10"/>
        <v>0.4915254237</v>
      </c>
      <c r="AG103" s="15">
        <v>29.0</v>
      </c>
      <c r="AH103" s="20">
        <f t="shared" si="11"/>
        <v>0.4915254237</v>
      </c>
      <c r="AI103" s="15">
        <v>29.0</v>
      </c>
      <c r="AJ103" s="15">
        <v>0.0</v>
      </c>
      <c r="AK103" s="21">
        <v>0.0</v>
      </c>
      <c r="AL103" s="22">
        <v>0.491525423728814</v>
      </c>
      <c r="AM103" s="15">
        <v>30.0</v>
      </c>
      <c r="AN103" s="15">
        <v>30.0</v>
      </c>
      <c r="AO103" s="23" t="s">
        <v>64</v>
      </c>
      <c r="AP103" s="23" t="s">
        <v>64</v>
      </c>
      <c r="AQ103" s="13" t="s">
        <v>108</v>
      </c>
      <c r="AR103" s="24" t="s">
        <v>66</v>
      </c>
      <c r="AS103" s="24"/>
      <c r="AT103" s="25" t="s">
        <v>409</v>
      </c>
      <c r="AU103" s="26" t="s">
        <v>118</v>
      </c>
      <c r="AV103" s="27"/>
      <c r="AW103" s="24" t="s">
        <v>133</v>
      </c>
      <c r="AX103" s="56">
        <v>46000.0</v>
      </c>
      <c r="AY103" s="29" t="s">
        <v>173</v>
      </c>
      <c r="AZ103" s="61"/>
      <c r="BA103" s="28"/>
      <c r="BB103" s="26" t="s">
        <v>90</v>
      </c>
      <c r="BC103" s="27"/>
      <c r="BD103" s="24"/>
      <c r="BE103" s="58"/>
      <c r="BF103" s="27"/>
      <c r="BG103" s="27"/>
      <c r="BH103" s="27"/>
    </row>
    <row r="104" ht="14.25" customHeight="1">
      <c r="A104" s="12" t="s">
        <v>410</v>
      </c>
      <c r="B104" s="12"/>
      <c r="C104" s="13"/>
      <c r="D104" s="14"/>
      <c r="E104" s="15"/>
      <c r="F104" s="15"/>
      <c r="G104" s="12"/>
      <c r="H104" s="16"/>
      <c r="I104" s="17">
        <v>0.6184</v>
      </c>
      <c r="J104" s="18"/>
      <c r="K104" s="18" t="s">
        <v>84</v>
      </c>
      <c r="L104" s="18" t="s">
        <v>62</v>
      </c>
      <c r="M104" s="18" t="s">
        <v>62</v>
      </c>
      <c r="N104" s="18"/>
      <c r="O104" s="18" t="s">
        <v>62</v>
      </c>
      <c r="P104" s="18" t="s">
        <v>62</v>
      </c>
      <c r="Q104" s="18" t="s">
        <v>62</v>
      </c>
      <c r="R104" s="15">
        <f t="shared" si="3"/>
        <v>0</v>
      </c>
      <c r="S104" s="15">
        <v>38.0</v>
      </c>
      <c r="T104" s="15">
        <v>11.0</v>
      </c>
      <c r="U104" s="20">
        <f t="shared" si="4"/>
        <v>0.2894736842</v>
      </c>
      <c r="V104" s="15">
        <f t="shared" si="5"/>
        <v>8</v>
      </c>
      <c r="W104" s="15">
        <v>11.0</v>
      </c>
      <c r="X104" s="20">
        <f t="shared" si="6"/>
        <v>0.2894736842</v>
      </c>
      <c r="Y104" s="15">
        <f t="shared" ref="Y104:Z104" si="212">AE104-W104</f>
        <v>9</v>
      </c>
      <c r="Z104" s="20">
        <f t="shared" si="212"/>
        <v>0.2368421053</v>
      </c>
      <c r="AA104" s="15">
        <v>11.0</v>
      </c>
      <c r="AB104" s="20">
        <f t="shared" si="8"/>
        <v>0.2894736842</v>
      </c>
      <c r="AC104" s="15">
        <f t="shared" ref="AC104:AD104" si="213">AE104-AA104</f>
        <v>9</v>
      </c>
      <c r="AD104" s="20">
        <f t="shared" si="213"/>
        <v>0.2368421053</v>
      </c>
      <c r="AE104" s="15">
        <v>20.0</v>
      </c>
      <c r="AF104" s="20">
        <f t="shared" si="10"/>
        <v>0.5263157895</v>
      </c>
      <c r="AG104" s="15">
        <v>20.0</v>
      </c>
      <c r="AH104" s="20">
        <f t="shared" si="11"/>
        <v>0.5263157895</v>
      </c>
      <c r="AI104" s="15">
        <v>19.0</v>
      </c>
      <c r="AJ104" s="15">
        <v>1.0</v>
      </c>
      <c r="AK104" s="21">
        <v>0.0</v>
      </c>
      <c r="AL104" s="22">
        <v>0.526315789473684</v>
      </c>
      <c r="AM104" s="15">
        <v>18.0</v>
      </c>
      <c r="AN104" s="15">
        <v>18.0</v>
      </c>
      <c r="AO104" s="23" t="s">
        <v>63</v>
      </c>
      <c r="AP104" s="23" t="s">
        <v>64</v>
      </c>
      <c r="AQ104" s="13" t="s">
        <v>104</v>
      </c>
      <c r="AR104" s="24" t="s">
        <v>66</v>
      </c>
      <c r="AS104" s="24"/>
      <c r="AT104" s="25" t="s">
        <v>411</v>
      </c>
      <c r="AU104" s="26" t="s">
        <v>68</v>
      </c>
      <c r="AV104" s="27"/>
      <c r="AW104" s="24" t="s">
        <v>69</v>
      </c>
      <c r="AX104" s="28"/>
      <c r="AY104" s="29" t="s">
        <v>412</v>
      </c>
      <c r="AZ104" s="30"/>
      <c r="BA104" s="25" t="s">
        <v>413</v>
      </c>
      <c r="BB104" s="26" t="s">
        <v>72</v>
      </c>
      <c r="BC104" s="27"/>
      <c r="BD104" s="34" t="s">
        <v>91</v>
      </c>
      <c r="BE104" s="35"/>
      <c r="BF104" s="27"/>
      <c r="BG104" s="27"/>
      <c r="BH104" s="27"/>
    </row>
    <row r="105" ht="14.25" customHeight="1">
      <c r="A105" s="12" t="s">
        <v>414</v>
      </c>
      <c r="B105" s="12"/>
      <c r="C105" s="13"/>
      <c r="D105" s="14"/>
      <c r="E105" s="15"/>
      <c r="F105" s="15"/>
      <c r="G105" s="12"/>
      <c r="H105" s="16"/>
      <c r="I105" s="17">
        <v>0.04</v>
      </c>
      <c r="J105" s="18"/>
      <c r="K105" s="18" t="s">
        <v>62</v>
      </c>
      <c r="L105" s="18" t="s">
        <v>62</v>
      </c>
      <c r="M105" s="18" t="s">
        <v>129</v>
      </c>
      <c r="N105" s="18"/>
      <c r="O105" s="18" t="s">
        <v>60</v>
      </c>
      <c r="P105" s="18" t="s">
        <v>60</v>
      </c>
      <c r="Q105" s="19" t="s">
        <v>60</v>
      </c>
      <c r="R105" s="15">
        <f t="shared" si="3"/>
        <v>0</v>
      </c>
      <c r="S105" s="15">
        <v>15.0</v>
      </c>
      <c r="T105" s="15">
        <v>0.0</v>
      </c>
      <c r="U105" s="20">
        <f t="shared" si="4"/>
        <v>0</v>
      </c>
      <c r="V105" s="15">
        <f t="shared" si="5"/>
        <v>15</v>
      </c>
      <c r="W105" s="15">
        <v>15.0</v>
      </c>
      <c r="X105" s="20">
        <f t="shared" si="6"/>
        <v>1</v>
      </c>
      <c r="Y105" s="15">
        <f t="shared" ref="Y105:Z105" si="214">AE105-W105</f>
        <v>0</v>
      </c>
      <c r="Z105" s="20">
        <f t="shared" si="214"/>
        <v>0</v>
      </c>
      <c r="AA105" s="15">
        <v>15.0</v>
      </c>
      <c r="AB105" s="20">
        <f t="shared" si="8"/>
        <v>1</v>
      </c>
      <c r="AC105" s="15">
        <f t="shared" ref="AC105:AD105" si="215">AE105-AA105</f>
        <v>0</v>
      </c>
      <c r="AD105" s="20">
        <f t="shared" si="215"/>
        <v>0</v>
      </c>
      <c r="AE105" s="15">
        <v>15.0</v>
      </c>
      <c r="AF105" s="20">
        <f t="shared" si="10"/>
        <v>1</v>
      </c>
      <c r="AG105" s="15">
        <v>15.0</v>
      </c>
      <c r="AH105" s="20">
        <f t="shared" si="11"/>
        <v>1</v>
      </c>
      <c r="AI105" s="15">
        <v>15.0</v>
      </c>
      <c r="AJ105" s="15">
        <v>0.0</v>
      </c>
      <c r="AK105" s="21">
        <v>0.0</v>
      </c>
      <c r="AL105" s="22">
        <v>1.0</v>
      </c>
      <c r="AM105" s="15">
        <v>0.0</v>
      </c>
      <c r="AN105" s="15">
        <v>0.0</v>
      </c>
      <c r="AO105" s="23" t="s">
        <v>63</v>
      </c>
      <c r="AP105" s="23" t="s">
        <v>64</v>
      </c>
      <c r="AQ105" s="13" t="s">
        <v>65</v>
      </c>
      <c r="AR105" s="24" t="s">
        <v>66</v>
      </c>
      <c r="AS105" s="24"/>
      <c r="AT105" s="25" t="s">
        <v>415</v>
      </c>
      <c r="AU105" s="26" t="s">
        <v>68</v>
      </c>
      <c r="AV105" s="27"/>
      <c r="AW105" s="24" t="s">
        <v>69</v>
      </c>
      <c r="AX105" s="28"/>
      <c r="AY105" s="29" t="s">
        <v>70</v>
      </c>
      <c r="AZ105" s="32"/>
      <c r="BA105" s="25" t="s">
        <v>416</v>
      </c>
      <c r="BB105" s="26" t="s">
        <v>72</v>
      </c>
      <c r="BC105" s="27"/>
      <c r="BD105" s="24" t="s">
        <v>307</v>
      </c>
      <c r="BE105" s="27"/>
      <c r="BF105" s="27"/>
      <c r="BG105" s="27"/>
      <c r="BH105" s="27"/>
    </row>
    <row r="106" ht="14.25" customHeight="1">
      <c r="A106" s="12" t="s">
        <v>417</v>
      </c>
      <c r="B106" s="12"/>
      <c r="C106" s="13"/>
      <c r="D106" s="14"/>
      <c r="E106" s="15"/>
      <c r="F106" s="19"/>
      <c r="G106" s="39"/>
      <c r="H106" s="18"/>
      <c r="I106" s="17">
        <v>0.0</v>
      </c>
      <c r="J106" s="18"/>
      <c r="K106" s="18"/>
      <c r="L106" s="18" t="s">
        <v>129</v>
      </c>
      <c r="M106" s="18" t="s">
        <v>129</v>
      </c>
      <c r="N106" s="18"/>
      <c r="O106" s="18" t="s">
        <v>84</v>
      </c>
      <c r="P106" s="18" t="s">
        <v>62</v>
      </c>
      <c r="Q106" s="18" t="s">
        <v>161</v>
      </c>
      <c r="R106" s="15">
        <f t="shared" si="3"/>
        <v>0</v>
      </c>
      <c r="S106" s="15">
        <v>98.0</v>
      </c>
      <c r="T106" s="15">
        <v>0.0</v>
      </c>
      <c r="U106" s="20">
        <f t="shared" si="4"/>
        <v>0</v>
      </c>
      <c r="V106" s="15">
        <f t="shared" si="5"/>
        <v>21</v>
      </c>
      <c r="W106" s="15">
        <v>0.0</v>
      </c>
      <c r="X106" s="20">
        <f t="shared" si="6"/>
        <v>0</v>
      </c>
      <c r="Y106" s="15">
        <f t="shared" ref="Y106:Z106" si="216">AE106-W106</f>
        <v>21</v>
      </c>
      <c r="Z106" s="20">
        <f t="shared" si="216"/>
        <v>0.2142857143</v>
      </c>
      <c r="AA106" s="15">
        <v>0.0</v>
      </c>
      <c r="AB106" s="20">
        <f t="shared" si="8"/>
        <v>0</v>
      </c>
      <c r="AC106" s="15">
        <f t="shared" ref="AC106:AD106" si="217">AE106-AA106</f>
        <v>21</v>
      </c>
      <c r="AD106" s="20">
        <f t="shared" si="217"/>
        <v>0.2142857143</v>
      </c>
      <c r="AE106" s="15">
        <v>21.0</v>
      </c>
      <c r="AF106" s="20">
        <f t="shared" si="10"/>
        <v>0.2142857143</v>
      </c>
      <c r="AG106" s="15">
        <v>21.0</v>
      </c>
      <c r="AH106" s="20">
        <f t="shared" si="11"/>
        <v>0.2142857143</v>
      </c>
      <c r="AI106" s="15">
        <v>21.0</v>
      </c>
      <c r="AJ106" s="15">
        <v>0.0</v>
      </c>
      <c r="AK106" s="21">
        <v>0.0</v>
      </c>
      <c r="AL106" s="22">
        <v>0.214285714285714</v>
      </c>
      <c r="AM106" s="15">
        <v>77.0</v>
      </c>
      <c r="AN106" s="15">
        <v>72.0</v>
      </c>
      <c r="AO106" s="23" t="s">
        <v>63</v>
      </c>
      <c r="AP106" s="23" t="s">
        <v>64</v>
      </c>
      <c r="AQ106" s="13" t="s">
        <v>93</v>
      </c>
      <c r="AR106" s="24" t="s">
        <v>66</v>
      </c>
      <c r="AS106" s="24"/>
      <c r="AT106" s="25" t="s">
        <v>418</v>
      </c>
      <c r="AU106" s="26" t="s">
        <v>88</v>
      </c>
      <c r="AV106" s="27"/>
      <c r="AW106" s="24" t="s">
        <v>79</v>
      </c>
      <c r="AX106" s="28"/>
      <c r="AY106" s="29" t="s">
        <v>89</v>
      </c>
      <c r="AZ106" s="33"/>
      <c r="BA106" s="28"/>
      <c r="BB106" s="26" t="s">
        <v>90</v>
      </c>
      <c r="BC106" s="27"/>
      <c r="BD106" s="34" t="s">
        <v>91</v>
      </c>
      <c r="BE106" s="35"/>
      <c r="BF106" s="27"/>
      <c r="BG106" s="27"/>
      <c r="BH106" s="27"/>
    </row>
    <row r="107" ht="14.25" customHeight="1">
      <c r="A107" s="12" t="s">
        <v>419</v>
      </c>
      <c r="B107" s="12"/>
      <c r="C107" s="13"/>
      <c r="D107" s="14"/>
      <c r="E107" s="15"/>
      <c r="F107" s="15"/>
      <c r="G107" s="12"/>
      <c r="H107" s="16"/>
      <c r="I107" s="17">
        <v>0.0657</v>
      </c>
      <c r="J107" s="18"/>
      <c r="K107" s="18"/>
      <c r="L107" s="18" t="s">
        <v>84</v>
      </c>
      <c r="M107" s="18" t="s">
        <v>264</v>
      </c>
      <c r="N107" s="18"/>
      <c r="O107" s="18" t="s">
        <v>62</v>
      </c>
      <c r="P107" s="18" t="s">
        <v>86</v>
      </c>
      <c r="Q107" s="19" t="s">
        <v>60</v>
      </c>
      <c r="R107" s="15">
        <f t="shared" si="3"/>
        <v>0</v>
      </c>
      <c r="S107" s="15">
        <v>111.0</v>
      </c>
      <c r="T107" s="15">
        <v>2.0</v>
      </c>
      <c r="U107" s="20">
        <f t="shared" si="4"/>
        <v>0.01801801802</v>
      </c>
      <c r="V107" s="15">
        <f t="shared" si="5"/>
        <v>24</v>
      </c>
      <c r="W107" s="15">
        <v>2.0</v>
      </c>
      <c r="X107" s="20">
        <f t="shared" si="6"/>
        <v>0.01801801802</v>
      </c>
      <c r="Y107" s="15">
        <f t="shared" ref="Y107:Z107" si="218">AE107-W107</f>
        <v>26</v>
      </c>
      <c r="Z107" s="20">
        <f t="shared" si="218"/>
        <v>0.2342342342</v>
      </c>
      <c r="AA107" s="15">
        <v>28.0</v>
      </c>
      <c r="AB107" s="20">
        <f t="shared" si="8"/>
        <v>0.2522522523</v>
      </c>
      <c r="AC107" s="15">
        <f t="shared" ref="AC107:AD107" si="219">AE107-AA107</f>
        <v>0</v>
      </c>
      <c r="AD107" s="20">
        <f t="shared" si="219"/>
        <v>0</v>
      </c>
      <c r="AE107" s="15">
        <v>28.0</v>
      </c>
      <c r="AF107" s="20">
        <f t="shared" si="10"/>
        <v>0.2522522523</v>
      </c>
      <c r="AG107" s="15">
        <v>28.0</v>
      </c>
      <c r="AH107" s="20">
        <f t="shared" si="11"/>
        <v>0.2522522523</v>
      </c>
      <c r="AI107" s="15">
        <v>26.0</v>
      </c>
      <c r="AJ107" s="15">
        <v>2.0</v>
      </c>
      <c r="AK107" s="21">
        <v>0.0</v>
      </c>
      <c r="AL107" s="22">
        <v>0.252252252252252</v>
      </c>
      <c r="AM107" s="15">
        <v>84.0</v>
      </c>
      <c r="AN107" s="15">
        <v>83.0</v>
      </c>
      <c r="AO107" s="23" t="s">
        <v>64</v>
      </c>
      <c r="AP107" s="23" t="s">
        <v>64</v>
      </c>
      <c r="AQ107" s="13" t="s">
        <v>108</v>
      </c>
      <c r="AR107" s="24" t="s">
        <v>66</v>
      </c>
      <c r="AS107" s="24"/>
      <c r="AT107" s="25" t="s">
        <v>420</v>
      </c>
      <c r="AU107" s="26" t="s">
        <v>68</v>
      </c>
      <c r="AV107" s="27"/>
      <c r="AW107" s="24" t="s">
        <v>69</v>
      </c>
      <c r="AX107" s="28"/>
      <c r="AY107" s="29" t="s">
        <v>89</v>
      </c>
      <c r="AZ107" s="37"/>
      <c r="BA107" s="28"/>
      <c r="BB107" s="26" t="s">
        <v>90</v>
      </c>
      <c r="BC107" s="27"/>
      <c r="BD107" s="34" t="s">
        <v>91</v>
      </c>
      <c r="BE107" s="38"/>
      <c r="BF107" s="27"/>
      <c r="BG107" s="27"/>
      <c r="BH107" s="27"/>
    </row>
    <row r="108" ht="14.25" customHeight="1">
      <c r="A108" s="12" t="s">
        <v>421</v>
      </c>
      <c r="B108" s="12"/>
      <c r="C108" s="13"/>
      <c r="D108" s="14"/>
      <c r="E108" s="15"/>
      <c r="F108" s="15"/>
      <c r="G108" s="12"/>
      <c r="H108" s="16"/>
      <c r="I108" s="17">
        <v>0.3833</v>
      </c>
      <c r="J108" s="18"/>
      <c r="K108" s="18" t="s">
        <v>236</v>
      </c>
      <c r="L108" s="18" t="s">
        <v>76</v>
      </c>
      <c r="M108" s="18" t="s">
        <v>62</v>
      </c>
      <c r="N108" s="18"/>
      <c r="O108" s="18" t="s">
        <v>60</v>
      </c>
      <c r="P108" s="18" t="s">
        <v>60</v>
      </c>
      <c r="Q108" s="19" t="s">
        <v>60</v>
      </c>
      <c r="R108" s="15">
        <f t="shared" si="3"/>
        <v>0</v>
      </c>
      <c r="S108" s="15">
        <v>185.0</v>
      </c>
      <c r="T108" s="15">
        <v>58.0</v>
      </c>
      <c r="U108" s="20">
        <f t="shared" si="4"/>
        <v>0.3135135135</v>
      </c>
      <c r="V108" s="15">
        <f t="shared" si="5"/>
        <v>61</v>
      </c>
      <c r="W108" s="15">
        <v>119.0</v>
      </c>
      <c r="X108" s="20">
        <f t="shared" si="6"/>
        <v>0.6432432432</v>
      </c>
      <c r="Y108" s="15">
        <f t="shared" ref="Y108:Z108" si="220">AE108-W108</f>
        <v>0</v>
      </c>
      <c r="Z108" s="20">
        <f t="shared" si="220"/>
        <v>0</v>
      </c>
      <c r="AA108" s="15">
        <v>119.0</v>
      </c>
      <c r="AB108" s="20">
        <f t="shared" si="8"/>
        <v>0.6432432432</v>
      </c>
      <c r="AC108" s="15">
        <f t="shared" ref="AC108:AD108" si="221">AE108-AA108</f>
        <v>0</v>
      </c>
      <c r="AD108" s="20">
        <f t="shared" si="221"/>
        <v>0</v>
      </c>
      <c r="AE108" s="15">
        <v>119.0</v>
      </c>
      <c r="AF108" s="20">
        <f t="shared" si="10"/>
        <v>0.6432432432</v>
      </c>
      <c r="AG108" s="15">
        <v>119.0</v>
      </c>
      <c r="AH108" s="20">
        <f t="shared" si="11"/>
        <v>0.6432432432</v>
      </c>
      <c r="AI108" s="15">
        <v>119.0</v>
      </c>
      <c r="AJ108" s="15">
        <v>0.0</v>
      </c>
      <c r="AK108" s="21">
        <v>0.0</v>
      </c>
      <c r="AL108" s="22">
        <v>0.643243243243243</v>
      </c>
      <c r="AM108" s="15">
        <v>66.0</v>
      </c>
      <c r="AN108" s="15">
        <v>66.0</v>
      </c>
      <c r="AO108" s="23" t="s">
        <v>64</v>
      </c>
      <c r="AP108" s="23" t="s">
        <v>64</v>
      </c>
      <c r="AQ108" s="13" t="s">
        <v>108</v>
      </c>
      <c r="AR108" s="24" t="s">
        <v>66</v>
      </c>
      <c r="AS108" s="24"/>
      <c r="AT108" s="25" t="s">
        <v>422</v>
      </c>
      <c r="AU108" s="26" t="s">
        <v>68</v>
      </c>
      <c r="AV108" s="27"/>
      <c r="AW108" s="24" t="s">
        <v>69</v>
      </c>
      <c r="AX108" s="28"/>
      <c r="AY108" s="29" t="s">
        <v>70</v>
      </c>
      <c r="AZ108" s="30"/>
      <c r="BA108" s="25" t="s">
        <v>423</v>
      </c>
      <c r="BB108" s="26" t="s">
        <v>72</v>
      </c>
      <c r="BC108" s="27"/>
      <c r="BD108" s="24" t="s">
        <v>112</v>
      </c>
      <c r="BE108" s="27"/>
      <c r="BF108" s="27"/>
      <c r="BG108" s="27"/>
      <c r="BH108" s="27"/>
    </row>
    <row r="109" ht="14.25" customHeight="1">
      <c r="A109" s="12" t="s">
        <v>424</v>
      </c>
      <c r="B109" s="12"/>
      <c r="C109" s="13"/>
      <c r="D109" s="14"/>
      <c r="E109" s="15"/>
      <c r="F109" s="15"/>
      <c r="G109" s="12"/>
      <c r="H109" s="16"/>
      <c r="I109" s="17">
        <v>0.2361</v>
      </c>
      <c r="J109" s="18"/>
      <c r="K109" s="18" t="s">
        <v>62</v>
      </c>
      <c r="L109" s="18" t="s">
        <v>62</v>
      </c>
      <c r="M109" s="18" t="s">
        <v>62</v>
      </c>
      <c r="N109" s="18"/>
      <c r="O109" s="18" t="s">
        <v>62</v>
      </c>
      <c r="P109" s="18" t="s">
        <v>62</v>
      </c>
      <c r="Q109" s="18" t="s">
        <v>62</v>
      </c>
      <c r="R109" s="15">
        <f t="shared" si="3"/>
        <v>0</v>
      </c>
      <c r="S109" s="15">
        <v>54.0</v>
      </c>
      <c r="T109" s="15">
        <v>10.0</v>
      </c>
      <c r="U109" s="20">
        <f t="shared" si="4"/>
        <v>0.1851851852</v>
      </c>
      <c r="V109" s="15">
        <f t="shared" si="5"/>
        <v>18</v>
      </c>
      <c r="W109" s="15">
        <v>6.0</v>
      </c>
      <c r="X109" s="20">
        <f t="shared" si="6"/>
        <v>0.1111111111</v>
      </c>
      <c r="Y109" s="15">
        <f t="shared" ref="Y109:Z109" si="222">AE109-W109</f>
        <v>21</v>
      </c>
      <c r="Z109" s="20">
        <f t="shared" si="222"/>
        <v>0.3888888889</v>
      </c>
      <c r="AA109" s="15">
        <v>8.0</v>
      </c>
      <c r="AB109" s="20">
        <f t="shared" si="8"/>
        <v>0.1481481481</v>
      </c>
      <c r="AC109" s="15">
        <f t="shared" ref="AC109:AD109" si="223">AE109-AA109</f>
        <v>19</v>
      </c>
      <c r="AD109" s="20">
        <f t="shared" si="223"/>
        <v>0.3518518519</v>
      </c>
      <c r="AE109" s="15">
        <v>27.0</v>
      </c>
      <c r="AF109" s="20">
        <f t="shared" si="10"/>
        <v>0.5</v>
      </c>
      <c r="AG109" s="15">
        <v>27.0</v>
      </c>
      <c r="AH109" s="20">
        <f t="shared" si="11"/>
        <v>0.5</v>
      </c>
      <c r="AI109" s="15">
        <v>28.0</v>
      </c>
      <c r="AJ109" s="15">
        <v>0.0</v>
      </c>
      <c r="AK109" s="21">
        <v>0.0</v>
      </c>
      <c r="AL109" s="22">
        <v>0.518518518518518</v>
      </c>
      <c r="AM109" s="15">
        <v>0.0</v>
      </c>
      <c r="AN109" s="15">
        <v>26.0</v>
      </c>
      <c r="AO109" s="23" t="s">
        <v>64</v>
      </c>
      <c r="AP109" s="23" t="s">
        <v>64</v>
      </c>
      <c r="AQ109" s="13" t="s">
        <v>77</v>
      </c>
      <c r="AR109" s="24" t="s">
        <v>130</v>
      </c>
      <c r="AS109" s="24"/>
      <c r="AT109" s="25" t="s">
        <v>425</v>
      </c>
      <c r="AU109" s="26" t="s">
        <v>68</v>
      </c>
      <c r="AV109" s="27"/>
      <c r="AW109" s="24" t="s">
        <v>100</v>
      </c>
      <c r="AX109" s="28"/>
      <c r="AY109" s="29" t="s">
        <v>412</v>
      </c>
      <c r="AZ109" s="32"/>
      <c r="BA109" s="25" t="s">
        <v>426</v>
      </c>
      <c r="BB109" s="26" t="s">
        <v>118</v>
      </c>
      <c r="BC109" s="27"/>
      <c r="BD109" s="34" t="s">
        <v>91</v>
      </c>
      <c r="BE109" s="69">
        <v>46147.0</v>
      </c>
      <c r="BF109" s="27"/>
      <c r="BG109" s="27"/>
      <c r="BH109" s="27"/>
    </row>
    <row r="110" ht="14.25" customHeight="1">
      <c r="A110" s="12" t="s">
        <v>427</v>
      </c>
      <c r="B110" s="12"/>
      <c r="C110" s="13"/>
      <c r="D110" s="14"/>
      <c r="E110" s="15"/>
      <c r="F110" s="15"/>
      <c r="G110" s="12"/>
      <c r="H110" s="16"/>
      <c r="I110" s="17">
        <v>1.0</v>
      </c>
      <c r="J110" s="18"/>
      <c r="K110" s="18"/>
      <c r="L110" s="18" t="s">
        <v>270</v>
      </c>
      <c r="M110" s="18" t="s">
        <v>60</v>
      </c>
      <c r="N110" s="18"/>
      <c r="O110" s="18" t="s">
        <v>60</v>
      </c>
      <c r="P110" s="18" t="s">
        <v>60</v>
      </c>
      <c r="Q110" s="19" t="s">
        <v>60</v>
      </c>
      <c r="R110" s="15">
        <f t="shared" si="3"/>
        <v>0</v>
      </c>
      <c r="S110" s="15">
        <v>21.0</v>
      </c>
      <c r="T110" s="15">
        <v>21.0</v>
      </c>
      <c r="U110" s="20">
        <f t="shared" si="4"/>
        <v>1</v>
      </c>
      <c r="V110" s="15">
        <f t="shared" si="5"/>
        <v>0</v>
      </c>
      <c r="W110" s="15">
        <v>21.0</v>
      </c>
      <c r="X110" s="20">
        <f t="shared" si="6"/>
        <v>1</v>
      </c>
      <c r="Y110" s="15">
        <f t="shared" ref="Y110:Z110" si="224">AE110-W110</f>
        <v>0</v>
      </c>
      <c r="Z110" s="20">
        <f t="shared" si="224"/>
        <v>0</v>
      </c>
      <c r="AA110" s="15">
        <v>21.0</v>
      </c>
      <c r="AB110" s="20">
        <f t="shared" si="8"/>
        <v>1</v>
      </c>
      <c r="AC110" s="15">
        <f t="shared" ref="AC110:AD110" si="225">AE110-AA110</f>
        <v>0</v>
      </c>
      <c r="AD110" s="20">
        <f t="shared" si="225"/>
        <v>0</v>
      </c>
      <c r="AE110" s="15">
        <v>21.0</v>
      </c>
      <c r="AF110" s="20">
        <f t="shared" si="10"/>
        <v>1</v>
      </c>
      <c r="AG110" s="15" t="e">
        <v>#N/A</v>
      </c>
      <c r="AH110" s="20" t="str">
        <f t="shared" si="11"/>
        <v>#N/A</v>
      </c>
      <c r="AI110" s="15">
        <v>21.0</v>
      </c>
      <c r="AJ110" s="15">
        <v>0.0</v>
      </c>
      <c r="AK110" s="21">
        <v>0.0</v>
      </c>
      <c r="AL110" s="22">
        <v>1.0</v>
      </c>
      <c r="AM110" s="15">
        <v>0.0</v>
      </c>
      <c r="AN110" s="15">
        <v>0.0</v>
      </c>
      <c r="AO110" s="23" t="s">
        <v>63</v>
      </c>
      <c r="AP110" s="23" t="s">
        <v>64</v>
      </c>
      <c r="AQ110" s="13" t="s">
        <v>65</v>
      </c>
      <c r="AR110" s="24" t="s">
        <v>66</v>
      </c>
      <c r="AS110" s="24"/>
      <c r="AT110" s="25" t="s">
        <v>428</v>
      </c>
      <c r="AU110" s="26" t="s">
        <v>68</v>
      </c>
      <c r="AV110" s="27"/>
      <c r="AW110" s="24" t="s">
        <v>69</v>
      </c>
      <c r="AX110" s="28"/>
      <c r="AY110" s="29" t="s">
        <v>173</v>
      </c>
      <c r="AZ110" s="29"/>
      <c r="BA110" s="28"/>
      <c r="BB110" s="26" t="s">
        <v>90</v>
      </c>
      <c r="BC110" s="27"/>
      <c r="BD110" s="24" t="s">
        <v>91</v>
      </c>
      <c r="BE110" s="72"/>
      <c r="BF110" s="27"/>
      <c r="BG110" s="27"/>
      <c r="BH110" s="27"/>
    </row>
    <row r="111" ht="14.25" customHeight="1">
      <c r="A111" s="12" t="s">
        <v>429</v>
      </c>
      <c r="B111" s="12"/>
      <c r="C111" s="13"/>
      <c r="D111" s="14"/>
      <c r="E111" s="15"/>
      <c r="F111" s="19"/>
      <c r="G111" s="39"/>
      <c r="H111" s="18"/>
      <c r="I111" s="17">
        <v>1.0</v>
      </c>
      <c r="J111" s="18"/>
      <c r="K111" s="18" t="s">
        <v>151</v>
      </c>
      <c r="L111" s="18" t="s">
        <v>61</v>
      </c>
      <c r="M111" s="18" t="s">
        <v>60</v>
      </c>
      <c r="N111" s="18"/>
      <c r="O111" s="18" t="s">
        <v>60</v>
      </c>
      <c r="P111" s="18" t="s">
        <v>60</v>
      </c>
      <c r="Q111" s="19" t="s">
        <v>60</v>
      </c>
      <c r="R111" s="15">
        <f t="shared" si="3"/>
        <v>0</v>
      </c>
      <c r="S111" s="15">
        <v>23.0</v>
      </c>
      <c r="T111" s="15">
        <v>23.0</v>
      </c>
      <c r="U111" s="20">
        <f t="shared" si="4"/>
        <v>1</v>
      </c>
      <c r="V111" s="15">
        <f t="shared" si="5"/>
        <v>0</v>
      </c>
      <c r="W111" s="15">
        <v>23.0</v>
      </c>
      <c r="X111" s="20">
        <f t="shared" si="6"/>
        <v>1</v>
      </c>
      <c r="Y111" s="15">
        <f t="shared" ref="Y111:Z111" si="226">AE111-W111</f>
        <v>0</v>
      </c>
      <c r="Z111" s="20">
        <f t="shared" si="226"/>
        <v>0</v>
      </c>
      <c r="AA111" s="15">
        <v>23.0</v>
      </c>
      <c r="AB111" s="20">
        <f t="shared" si="8"/>
        <v>1</v>
      </c>
      <c r="AC111" s="15">
        <f t="shared" ref="AC111:AD111" si="227">AE111-AA111</f>
        <v>0</v>
      </c>
      <c r="AD111" s="20">
        <f t="shared" si="227"/>
        <v>0</v>
      </c>
      <c r="AE111" s="15">
        <v>23.0</v>
      </c>
      <c r="AF111" s="20">
        <f t="shared" si="10"/>
        <v>1</v>
      </c>
      <c r="AG111" s="15">
        <v>23.0</v>
      </c>
      <c r="AH111" s="20">
        <f t="shared" si="11"/>
        <v>1</v>
      </c>
      <c r="AI111" s="15">
        <v>23.0</v>
      </c>
      <c r="AJ111" s="15">
        <v>0.0</v>
      </c>
      <c r="AK111" s="21">
        <v>0.0</v>
      </c>
      <c r="AL111" s="22">
        <v>1.0</v>
      </c>
      <c r="AM111" s="15">
        <v>0.0</v>
      </c>
      <c r="AN111" s="15">
        <v>0.0</v>
      </c>
      <c r="AO111" s="23" t="s">
        <v>63</v>
      </c>
      <c r="AP111" s="23" t="s">
        <v>64</v>
      </c>
      <c r="AQ111" s="13" t="e">
        <v>#N/A</v>
      </c>
      <c r="AR111" s="24" t="s">
        <v>66</v>
      </c>
      <c r="AS111" s="24"/>
      <c r="AT111" s="25" t="s">
        <v>430</v>
      </c>
      <c r="AU111" s="26" t="s">
        <v>431</v>
      </c>
      <c r="AV111" s="27"/>
      <c r="AW111" s="24" t="s">
        <v>133</v>
      </c>
      <c r="AX111" s="42">
        <v>46002.0</v>
      </c>
      <c r="AY111" s="29" t="s">
        <v>254</v>
      </c>
      <c r="AZ111" s="32"/>
      <c r="BA111" s="25" t="s">
        <v>432</v>
      </c>
      <c r="BB111" s="26" t="s">
        <v>168</v>
      </c>
      <c r="BC111" s="27"/>
      <c r="BD111" s="24" t="s">
        <v>112</v>
      </c>
      <c r="BE111" s="27"/>
      <c r="BF111" s="27"/>
      <c r="BG111" s="27"/>
      <c r="BH111" s="27"/>
    </row>
    <row r="112" ht="14.25" customHeight="1">
      <c r="A112" s="12" t="s">
        <v>433</v>
      </c>
      <c r="B112" s="12"/>
      <c r="C112" s="13"/>
      <c r="D112" s="14"/>
      <c r="E112" s="15"/>
      <c r="F112" s="15"/>
      <c r="G112" s="12"/>
      <c r="H112" s="16"/>
      <c r="I112" s="17">
        <v>0.2273</v>
      </c>
      <c r="J112" s="18"/>
      <c r="K112" s="18" t="s">
        <v>62</v>
      </c>
      <c r="L112" s="18" t="s">
        <v>62</v>
      </c>
      <c r="M112" s="18" t="s">
        <v>202</v>
      </c>
      <c r="N112" s="18"/>
      <c r="O112" s="18" t="s">
        <v>62</v>
      </c>
      <c r="P112" s="18" t="s">
        <v>62</v>
      </c>
      <c r="Q112" s="19" t="s">
        <v>60</v>
      </c>
      <c r="R112" s="15">
        <f t="shared" si="3"/>
        <v>0</v>
      </c>
      <c r="S112" s="15">
        <v>27.0</v>
      </c>
      <c r="T112" s="15">
        <v>2.0</v>
      </c>
      <c r="U112" s="20">
        <f t="shared" si="4"/>
        <v>0.07407407407</v>
      </c>
      <c r="V112" s="15">
        <f t="shared" si="5"/>
        <v>14</v>
      </c>
      <c r="W112" s="15">
        <v>2.0</v>
      </c>
      <c r="X112" s="20">
        <f t="shared" si="6"/>
        <v>0.07407407407</v>
      </c>
      <c r="Y112" s="15">
        <f t="shared" ref="Y112:Z112" si="228">AE112-W112</f>
        <v>14</v>
      </c>
      <c r="Z112" s="20">
        <f t="shared" si="228"/>
        <v>0.5185185185</v>
      </c>
      <c r="AA112" s="15">
        <v>16.0</v>
      </c>
      <c r="AB112" s="20">
        <f t="shared" si="8"/>
        <v>0.5925925926</v>
      </c>
      <c r="AC112" s="15">
        <f t="shared" ref="AC112:AD112" si="229">AE112-AA112</f>
        <v>0</v>
      </c>
      <c r="AD112" s="20">
        <f t="shared" si="229"/>
        <v>0</v>
      </c>
      <c r="AE112" s="15">
        <v>16.0</v>
      </c>
      <c r="AF112" s="20">
        <f t="shared" si="10"/>
        <v>0.5925925926</v>
      </c>
      <c r="AG112" s="15">
        <v>16.0</v>
      </c>
      <c r="AH112" s="20">
        <f t="shared" si="11"/>
        <v>0.5925925926</v>
      </c>
      <c r="AI112" s="15">
        <v>16.0</v>
      </c>
      <c r="AJ112" s="15">
        <v>0.0</v>
      </c>
      <c r="AK112" s="21">
        <v>0.0</v>
      </c>
      <c r="AL112" s="22">
        <v>0.592592592592593</v>
      </c>
      <c r="AM112" s="15">
        <v>11.0</v>
      </c>
      <c r="AN112" s="15">
        <v>11.0</v>
      </c>
      <c r="AO112" s="23" t="s">
        <v>63</v>
      </c>
      <c r="AP112" s="23" t="s">
        <v>64</v>
      </c>
      <c r="AQ112" s="13" t="s">
        <v>65</v>
      </c>
      <c r="AR112" s="24" t="s">
        <v>66</v>
      </c>
      <c r="AS112" s="24"/>
      <c r="AT112" s="25" t="s">
        <v>434</v>
      </c>
      <c r="AU112" s="26" t="s">
        <v>68</v>
      </c>
      <c r="AV112" s="27"/>
      <c r="AW112" s="24" t="s">
        <v>69</v>
      </c>
      <c r="AX112" s="28"/>
      <c r="AY112" s="29" t="s">
        <v>394</v>
      </c>
      <c r="AZ112" s="29"/>
      <c r="BA112" s="28"/>
      <c r="BB112" s="26" t="s">
        <v>90</v>
      </c>
      <c r="BC112" s="27"/>
      <c r="BD112" s="34" t="s">
        <v>91</v>
      </c>
      <c r="BE112" s="35"/>
      <c r="BF112" s="27"/>
      <c r="BG112" s="27"/>
      <c r="BH112" s="27"/>
    </row>
    <row r="113" ht="14.25" customHeight="1">
      <c r="A113" s="12" t="s">
        <v>435</v>
      </c>
      <c r="B113" s="12"/>
      <c r="C113" s="13"/>
      <c r="D113" s="14"/>
      <c r="E113" s="15"/>
      <c r="F113" s="15"/>
      <c r="G113" s="12"/>
      <c r="H113" s="16"/>
      <c r="I113" s="17">
        <v>0.0043</v>
      </c>
      <c r="J113" s="18"/>
      <c r="K113" s="18" t="s">
        <v>84</v>
      </c>
      <c r="L113" s="18" t="s">
        <v>62</v>
      </c>
      <c r="M113" s="18" t="s">
        <v>62</v>
      </c>
      <c r="N113" s="18"/>
      <c r="O113" s="18" t="s">
        <v>60</v>
      </c>
      <c r="P113" s="18" t="s">
        <v>60</v>
      </c>
      <c r="Q113" s="19" t="s">
        <v>60</v>
      </c>
      <c r="R113" s="15">
        <f t="shared" si="3"/>
        <v>0</v>
      </c>
      <c r="S113" s="15">
        <v>468.0</v>
      </c>
      <c r="T113" s="15">
        <v>2.0</v>
      </c>
      <c r="U113" s="20">
        <f t="shared" si="4"/>
        <v>0.004273504274</v>
      </c>
      <c r="V113" s="15">
        <f t="shared" si="5"/>
        <v>44</v>
      </c>
      <c r="W113" s="15">
        <v>47.0</v>
      </c>
      <c r="X113" s="20">
        <f t="shared" si="6"/>
        <v>0.1004273504</v>
      </c>
      <c r="Y113" s="15">
        <f t="shared" ref="Y113:Z113" si="230">AE113-W113</f>
        <v>0</v>
      </c>
      <c r="Z113" s="20">
        <f t="shared" si="230"/>
        <v>0</v>
      </c>
      <c r="AA113" s="15">
        <v>47.0</v>
      </c>
      <c r="AB113" s="20">
        <f t="shared" si="8"/>
        <v>0.1004273504</v>
      </c>
      <c r="AC113" s="15">
        <f t="shared" ref="AC113:AD113" si="231">AE113-AA113</f>
        <v>0</v>
      </c>
      <c r="AD113" s="20">
        <f t="shared" si="231"/>
        <v>0</v>
      </c>
      <c r="AE113" s="15">
        <v>47.0</v>
      </c>
      <c r="AF113" s="20">
        <f t="shared" si="10"/>
        <v>0.1004273504</v>
      </c>
      <c r="AG113" s="15">
        <v>47.0</v>
      </c>
      <c r="AH113" s="20">
        <f t="shared" si="11"/>
        <v>0.1004273504</v>
      </c>
      <c r="AI113" s="15">
        <v>46.0</v>
      </c>
      <c r="AJ113" s="15">
        <v>1.0</v>
      </c>
      <c r="AK113" s="21">
        <v>0.0</v>
      </c>
      <c r="AL113" s="22">
        <v>0.10042735042735</v>
      </c>
      <c r="AM113" s="15">
        <v>422.0</v>
      </c>
      <c r="AN113" s="15">
        <v>420.0</v>
      </c>
      <c r="AO113" s="23" t="s">
        <v>64</v>
      </c>
      <c r="AP113" s="23" t="s">
        <v>64</v>
      </c>
      <c r="AQ113" s="13" t="s">
        <v>77</v>
      </c>
      <c r="AR113" s="24" t="s">
        <v>66</v>
      </c>
      <c r="AS113" s="24"/>
      <c r="AT113" s="25" t="s">
        <v>436</v>
      </c>
      <c r="AU113" s="26" t="s">
        <v>68</v>
      </c>
      <c r="AV113" s="27"/>
      <c r="AW113" s="24" t="s">
        <v>69</v>
      </c>
      <c r="AX113" s="27"/>
      <c r="AY113" s="29" t="s">
        <v>70</v>
      </c>
      <c r="AZ113" s="32"/>
      <c r="BA113" s="25" t="s">
        <v>437</v>
      </c>
      <c r="BB113" s="26" t="s">
        <v>90</v>
      </c>
      <c r="BC113" s="27"/>
      <c r="BD113" s="24"/>
      <c r="BE113" s="28"/>
      <c r="BF113" s="27"/>
      <c r="BG113" s="27"/>
      <c r="BH113" s="27"/>
    </row>
    <row r="114" ht="14.25" customHeight="1">
      <c r="A114" s="12" t="s">
        <v>438</v>
      </c>
      <c r="B114" s="12"/>
      <c r="C114" s="13"/>
      <c r="D114" s="14"/>
      <c r="E114" s="15"/>
      <c r="F114" s="15"/>
      <c r="G114" s="12"/>
      <c r="H114" s="16"/>
      <c r="I114" s="17">
        <v>0.043</v>
      </c>
      <c r="J114" s="18"/>
      <c r="K114" s="18" t="s">
        <v>84</v>
      </c>
      <c r="L114" s="18" t="s">
        <v>62</v>
      </c>
      <c r="M114" s="18" t="s">
        <v>62</v>
      </c>
      <c r="N114" s="18"/>
      <c r="O114" s="18" t="s">
        <v>62</v>
      </c>
      <c r="P114" s="18" t="s">
        <v>62</v>
      </c>
      <c r="Q114" s="18" t="s">
        <v>62</v>
      </c>
      <c r="R114" s="15">
        <f t="shared" si="3"/>
        <v>0</v>
      </c>
      <c r="S114" s="15">
        <v>72.0</v>
      </c>
      <c r="T114" s="15">
        <v>2.0</v>
      </c>
      <c r="U114" s="20">
        <f t="shared" si="4"/>
        <v>0.02777777778</v>
      </c>
      <c r="V114" s="15">
        <f t="shared" si="5"/>
        <v>25</v>
      </c>
      <c r="W114" s="15">
        <v>3.0</v>
      </c>
      <c r="X114" s="20">
        <f t="shared" si="6"/>
        <v>0.04166666667</v>
      </c>
      <c r="Y114" s="15">
        <f t="shared" ref="Y114:Z114" si="232">AE114-W114</f>
        <v>25</v>
      </c>
      <c r="Z114" s="20">
        <f t="shared" si="232"/>
        <v>0.3472222222</v>
      </c>
      <c r="AA114" s="15">
        <v>3.0</v>
      </c>
      <c r="AB114" s="20">
        <f t="shared" si="8"/>
        <v>0.04166666667</v>
      </c>
      <c r="AC114" s="15">
        <f t="shared" ref="AC114:AD114" si="233">AE114-AA114</f>
        <v>25</v>
      </c>
      <c r="AD114" s="20">
        <f t="shared" si="233"/>
        <v>0.3472222222</v>
      </c>
      <c r="AE114" s="15">
        <v>28.0</v>
      </c>
      <c r="AF114" s="20">
        <f t="shared" si="10"/>
        <v>0.3888888889</v>
      </c>
      <c r="AG114" s="15">
        <v>28.0</v>
      </c>
      <c r="AH114" s="20">
        <f t="shared" si="11"/>
        <v>0.3888888889</v>
      </c>
      <c r="AI114" s="15">
        <v>27.0</v>
      </c>
      <c r="AJ114" s="15">
        <v>1.0</v>
      </c>
      <c r="AK114" s="21">
        <v>0.0</v>
      </c>
      <c r="AL114" s="22">
        <v>0.388888888888889</v>
      </c>
      <c r="AM114" s="15">
        <v>44.0</v>
      </c>
      <c r="AN114" s="15">
        <v>44.0</v>
      </c>
      <c r="AO114" s="23" t="s">
        <v>64</v>
      </c>
      <c r="AP114" s="23" t="s">
        <v>64</v>
      </c>
      <c r="AQ114" s="13" t="s">
        <v>77</v>
      </c>
      <c r="AR114" s="24" t="s">
        <v>66</v>
      </c>
      <c r="AS114" s="24"/>
      <c r="AT114" s="25" t="s">
        <v>439</v>
      </c>
      <c r="AU114" s="26" t="s">
        <v>68</v>
      </c>
      <c r="AV114" s="27"/>
      <c r="AW114" s="24" t="s">
        <v>79</v>
      </c>
      <c r="AX114" s="28"/>
      <c r="AY114" s="29" t="s">
        <v>89</v>
      </c>
      <c r="AZ114" s="29"/>
      <c r="BA114" s="28"/>
      <c r="BB114" s="26" t="s">
        <v>90</v>
      </c>
      <c r="BC114" s="27"/>
      <c r="BD114" s="34" t="s">
        <v>91</v>
      </c>
      <c r="BE114" s="35"/>
      <c r="BF114" s="27"/>
      <c r="BG114" s="27"/>
      <c r="BH114" s="27"/>
    </row>
    <row r="115" ht="14.25" customHeight="1">
      <c r="A115" s="12" t="s">
        <v>440</v>
      </c>
      <c r="B115" s="12"/>
      <c r="C115" s="13"/>
      <c r="D115" s="14"/>
      <c r="E115" s="15"/>
      <c r="F115" s="15"/>
      <c r="G115" s="12"/>
      <c r="H115" s="16"/>
      <c r="I115" s="17">
        <v>0.0</v>
      </c>
      <c r="J115" s="18"/>
      <c r="K115" s="18"/>
      <c r="L115" s="18" t="s">
        <v>84</v>
      </c>
      <c r="M115" s="18" t="s">
        <v>84</v>
      </c>
      <c r="N115" s="18"/>
      <c r="O115" s="18" t="s">
        <v>60</v>
      </c>
      <c r="P115" s="18" t="s">
        <v>60</v>
      </c>
      <c r="Q115" s="19" t="s">
        <v>60</v>
      </c>
      <c r="R115" s="15">
        <f t="shared" si="3"/>
        <v>0</v>
      </c>
      <c r="S115" s="15">
        <v>36.0</v>
      </c>
      <c r="T115" s="15">
        <v>0.0</v>
      </c>
      <c r="U115" s="20">
        <f t="shared" si="4"/>
        <v>0</v>
      </c>
      <c r="V115" s="15">
        <f t="shared" si="5"/>
        <v>27</v>
      </c>
      <c r="W115" s="15">
        <v>27.0</v>
      </c>
      <c r="X115" s="20">
        <f t="shared" si="6"/>
        <v>0.75</v>
      </c>
      <c r="Y115" s="15">
        <f t="shared" ref="Y115:Z115" si="234">AE115-W115</f>
        <v>0</v>
      </c>
      <c r="Z115" s="20">
        <f t="shared" si="234"/>
        <v>0</v>
      </c>
      <c r="AA115" s="15">
        <v>27.0</v>
      </c>
      <c r="AB115" s="20">
        <f t="shared" si="8"/>
        <v>0.75</v>
      </c>
      <c r="AC115" s="15">
        <f t="shared" ref="AC115:AD115" si="235">AE115-AA115</f>
        <v>0</v>
      </c>
      <c r="AD115" s="20">
        <f t="shared" si="235"/>
        <v>0</v>
      </c>
      <c r="AE115" s="15">
        <v>27.0</v>
      </c>
      <c r="AF115" s="20">
        <f t="shared" si="10"/>
        <v>0.75</v>
      </c>
      <c r="AG115" s="15">
        <v>27.0</v>
      </c>
      <c r="AH115" s="20">
        <f t="shared" si="11"/>
        <v>0.75</v>
      </c>
      <c r="AI115" s="15">
        <v>27.0</v>
      </c>
      <c r="AJ115" s="15">
        <v>0.0</v>
      </c>
      <c r="AK115" s="21">
        <v>0.0</v>
      </c>
      <c r="AL115" s="22">
        <v>0.75</v>
      </c>
      <c r="AM115" s="15">
        <v>9.0</v>
      </c>
      <c r="AN115" s="15">
        <v>9.0</v>
      </c>
      <c r="AO115" s="23" t="s">
        <v>64</v>
      </c>
      <c r="AP115" s="23" t="s">
        <v>64</v>
      </c>
      <c r="AQ115" s="13" t="s">
        <v>108</v>
      </c>
      <c r="AR115" s="24" t="s">
        <v>66</v>
      </c>
      <c r="AS115" s="24"/>
      <c r="AT115" s="25" t="s">
        <v>441</v>
      </c>
      <c r="AU115" s="26" t="s">
        <v>118</v>
      </c>
      <c r="AV115" s="36"/>
      <c r="AW115" s="24" t="s">
        <v>133</v>
      </c>
      <c r="AX115" s="56">
        <v>46000.0</v>
      </c>
      <c r="AY115" s="29" t="s">
        <v>173</v>
      </c>
      <c r="AZ115" s="122"/>
      <c r="BA115" s="28"/>
      <c r="BB115" s="26" t="s">
        <v>90</v>
      </c>
      <c r="BC115" s="27"/>
      <c r="BD115" s="24"/>
      <c r="BE115" s="58"/>
      <c r="BF115" s="27"/>
      <c r="BG115" s="27"/>
      <c r="BH115" s="27"/>
    </row>
    <row r="116" ht="14.25" customHeight="1">
      <c r="A116" s="73" t="s">
        <v>442</v>
      </c>
      <c r="B116" s="73"/>
      <c r="C116" s="85"/>
      <c r="D116" s="75"/>
      <c r="E116" s="76"/>
      <c r="F116" s="80"/>
      <c r="G116" s="118"/>
      <c r="H116" s="79"/>
      <c r="I116" s="78">
        <v>0.1111</v>
      </c>
      <c r="J116" s="79"/>
      <c r="K116" s="79" t="s">
        <v>84</v>
      </c>
      <c r="L116" s="79" t="s">
        <v>76</v>
      </c>
      <c r="M116" s="79" t="s">
        <v>62</v>
      </c>
      <c r="N116" s="79" t="s">
        <v>129</v>
      </c>
      <c r="O116" s="79" t="s">
        <v>62</v>
      </c>
      <c r="P116" s="79" t="s">
        <v>60</v>
      </c>
      <c r="Q116" s="80" t="s">
        <v>60</v>
      </c>
      <c r="R116" s="76">
        <f t="shared" si="3"/>
        <v>0</v>
      </c>
      <c r="S116" s="76">
        <v>97.0</v>
      </c>
      <c r="T116" s="76">
        <v>13.0</v>
      </c>
      <c r="U116" s="20">
        <f t="shared" si="4"/>
        <v>0.1340206186</v>
      </c>
      <c r="V116" s="15">
        <f t="shared" si="5"/>
        <v>12</v>
      </c>
      <c r="W116" s="76">
        <v>13.0</v>
      </c>
      <c r="X116" s="81">
        <f t="shared" si="6"/>
        <v>0.1340206186</v>
      </c>
      <c r="Y116" s="76">
        <f t="shared" ref="Y116:Z116" si="236">AE116-W116</f>
        <v>0</v>
      </c>
      <c r="Z116" s="81">
        <f t="shared" si="236"/>
        <v>0</v>
      </c>
      <c r="AA116" s="76">
        <v>13.0</v>
      </c>
      <c r="AB116" s="81">
        <f t="shared" si="8"/>
        <v>0.1340206186</v>
      </c>
      <c r="AC116" s="76">
        <f t="shared" ref="AC116:AD116" si="237">AE116-AA116</f>
        <v>0</v>
      </c>
      <c r="AD116" s="81">
        <f t="shared" si="237"/>
        <v>0</v>
      </c>
      <c r="AE116" s="76">
        <v>13.0</v>
      </c>
      <c r="AF116" s="81">
        <f t="shared" si="10"/>
        <v>0.1340206186</v>
      </c>
      <c r="AG116" s="76">
        <v>13.0</v>
      </c>
      <c r="AH116" s="81">
        <f t="shared" si="11"/>
        <v>0.1340206186</v>
      </c>
      <c r="AI116" s="76">
        <v>25.0</v>
      </c>
      <c r="AJ116" s="76">
        <v>0.0</v>
      </c>
      <c r="AK116" s="82">
        <v>0.0</v>
      </c>
      <c r="AL116" s="83">
        <v>0.257731958762887</v>
      </c>
      <c r="AM116" s="76">
        <v>72.0</v>
      </c>
      <c r="AN116" s="76">
        <v>47.0</v>
      </c>
      <c r="AO116" s="84" t="s">
        <v>64</v>
      </c>
      <c r="AP116" s="84" t="s">
        <v>64</v>
      </c>
      <c r="AQ116" s="85" t="s">
        <v>65</v>
      </c>
      <c r="AR116" s="86" t="s">
        <v>66</v>
      </c>
      <c r="AS116" s="86"/>
      <c r="AT116" s="87" t="s">
        <v>443</v>
      </c>
      <c r="AU116" s="88" t="s">
        <v>118</v>
      </c>
      <c r="AV116" s="93"/>
      <c r="AW116" s="86" t="s">
        <v>133</v>
      </c>
      <c r="AX116" s="117">
        <v>46002.0</v>
      </c>
      <c r="AY116" s="91" t="s">
        <v>444</v>
      </c>
      <c r="AZ116" s="30"/>
      <c r="BA116" s="92" t="s">
        <v>445</v>
      </c>
      <c r="BB116" s="88" t="s">
        <v>90</v>
      </c>
      <c r="BC116" s="93"/>
      <c r="BD116" s="86"/>
      <c r="BE116" s="86"/>
      <c r="BF116" s="93"/>
      <c r="BG116" s="93"/>
      <c r="BH116" s="93"/>
    </row>
    <row r="117" ht="14.25" customHeight="1">
      <c r="A117" s="12" t="s">
        <v>446</v>
      </c>
      <c r="B117" s="12"/>
      <c r="C117" s="13"/>
      <c r="D117" s="14"/>
      <c r="E117" s="15"/>
      <c r="F117" s="19"/>
      <c r="G117" s="39"/>
      <c r="H117" s="18"/>
      <c r="I117" s="17">
        <v>1.0</v>
      </c>
      <c r="J117" s="18" t="s">
        <v>205</v>
      </c>
      <c r="K117" s="18" t="s">
        <v>206</v>
      </c>
      <c r="L117" s="18" t="s">
        <v>61</v>
      </c>
      <c r="M117" s="18" t="s">
        <v>60</v>
      </c>
      <c r="N117" s="18"/>
      <c r="O117" s="18" t="s">
        <v>60</v>
      </c>
      <c r="P117" s="18" t="s">
        <v>60</v>
      </c>
      <c r="Q117" s="19" t="s">
        <v>60</v>
      </c>
      <c r="R117" s="15">
        <f t="shared" si="3"/>
        <v>0</v>
      </c>
      <c r="S117" s="15">
        <v>17.0</v>
      </c>
      <c r="T117" s="15">
        <v>17.0</v>
      </c>
      <c r="U117" s="20">
        <f t="shared" si="4"/>
        <v>1</v>
      </c>
      <c r="V117" s="15">
        <f t="shared" si="5"/>
        <v>0</v>
      </c>
      <c r="W117" s="15">
        <v>17.0</v>
      </c>
      <c r="X117" s="20">
        <f t="shared" si="6"/>
        <v>1</v>
      </c>
      <c r="Y117" s="15">
        <f t="shared" ref="Y117:Z117" si="238">AE117-W117</f>
        <v>0</v>
      </c>
      <c r="Z117" s="20">
        <f t="shared" si="238"/>
        <v>0</v>
      </c>
      <c r="AA117" s="15">
        <v>17.0</v>
      </c>
      <c r="AB117" s="20">
        <f t="shared" si="8"/>
        <v>1</v>
      </c>
      <c r="AC117" s="15">
        <f t="shared" ref="AC117:AD117" si="239">AE117-AA117</f>
        <v>0</v>
      </c>
      <c r="AD117" s="20">
        <f t="shared" si="239"/>
        <v>0</v>
      </c>
      <c r="AE117" s="15">
        <v>17.0</v>
      </c>
      <c r="AF117" s="20">
        <f t="shared" si="10"/>
        <v>1</v>
      </c>
      <c r="AG117" s="15">
        <v>17.0</v>
      </c>
      <c r="AH117" s="20">
        <f t="shared" si="11"/>
        <v>1</v>
      </c>
      <c r="AI117" s="15">
        <v>17.0</v>
      </c>
      <c r="AJ117" s="15">
        <v>0.0</v>
      </c>
      <c r="AK117" s="21">
        <v>0.0</v>
      </c>
      <c r="AL117" s="22">
        <v>1.0</v>
      </c>
      <c r="AM117" s="15">
        <v>0.0</v>
      </c>
      <c r="AN117" s="15">
        <v>0.0</v>
      </c>
      <c r="AO117" s="23" t="s">
        <v>63</v>
      </c>
      <c r="AP117" s="23" t="s">
        <v>64</v>
      </c>
      <c r="AQ117" s="13" t="s">
        <v>93</v>
      </c>
      <c r="AR117" s="24" t="s">
        <v>66</v>
      </c>
      <c r="AS117" s="24"/>
      <c r="AT117" s="25" t="s">
        <v>447</v>
      </c>
      <c r="AU117" s="26" t="s">
        <v>68</v>
      </c>
      <c r="AV117" s="27"/>
      <c r="AW117" s="24" t="s">
        <v>100</v>
      </c>
      <c r="AX117" s="28"/>
      <c r="AY117" s="29" t="s">
        <v>70</v>
      </c>
      <c r="AZ117" s="32"/>
      <c r="BA117" s="25" t="s">
        <v>448</v>
      </c>
      <c r="BB117" s="26" t="s">
        <v>72</v>
      </c>
      <c r="BC117" s="27"/>
      <c r="BD117" s="24" t="s">
        <v>112</v>
      </c>
      <c r="BE117" s="27"/>
      <c r="BF117" s="27"/>
      <c r="BG117" s="27"/>
      <c r="BH117" s="27"/>
    </row>
    <row r="118" ht="14.25" customHeight="1">
      <c r="A118" s="12" t="s">
        <v>449</v>
      </c>
      <c r="B118" s="12"/>
      <c r="C118" s="13"/>
      <c r="D118" s="14"/>
      <c r="E118" s="15"/>
      <c r="F118" s="15"/>
      <c r="G118" s="12"/>
      <c r="H118" s="16"/>
      <c r="I118" s="17">
        <v>0.5428</v>
      </c>
      <c r="J118" s="18" t="s">
        <v>450</v>
      </c>
      <c r="K118" s="18" t="s">
        <v>84</v>
      </c>
      <c r="L118" s="18" t="s">
        <v>61</v>
      </c>
      <c r="M118" s="18" t="s">
        <v>451</v>
      </c>
      <c r="N118" s="18"/>
      <c r="O118" s="18" t="s">
        <v>120</v>
      </c>
      <c r="P118" s="18" t="s">
        <v>120</v>
      </c>
      <c r="Q118" s="19" t="s">
        <v>120</v>
      </c>
      <c r="R118" s="15">
        <f t="shared" si="3"/>
        <v>0</v>
      </c>
      <c r="S118" s="15">
        <v>310.0</v>
      </c>
      <c r="T118" s="15">
        <v>126.0</v>
      </c>
      <c r="U118" s="20">
        <f t="shared" si="4"/>
        <v>0.4064516129</v>
      </c>
      <c r="V118" s="15">
        <f t="shared" si="5"/>
        <v>138</v>
      </c>
      <c r="W118" s="15">
        <v>126.0</v>
      </c>
      <c r="X118" s="20">
        <f t="shared" si="6"/>
        <v>0.4064516129</v>
      </c>
      <c r="Y118" s="15">
        <f t="shared" ref="Y118:Z118" si="240">AE118-W118</f>
        <v>-27</v>
      </c>
      <c r="Z118" s="20">
        <f t="shared" si="240"/>
        <v>-0.08709677419</v>
      </c>
      <c r="AA118" s="15">
        <v>126.0</v>
      </c>
      <c r="AB118" s="20">
        <f t="shared" si="8"/>
        <v>0.4064516129</v>
      </c>
      <c r="AC118" s="15">
        <f t="shared" ref="AC118:AD118" si="241">AE118-AA118</f>
        <v>-27</v>
      </c>
      <c r="AD118" s="20">
        <f t="shared" si="241"/>
        <v>-0.08709677419</v>
      </c>
      <c r="AE118" s="15">
        <v>99.0</v>
      </c>
      <c r="AF118" s="20">
        <f t="shared" si="10"/>
        <v>0.3193548387</v>
      </c>
      <c r="AG118" s="15">
        <v>99.0</v>
      </c>
      <c r="AH118" s="20">
        <f t="shared" si="11"/>
        <v>0.3193548387</v>
      </c>
      <c r="AI118" s="15">
        <v>264.0</v>
      </c>
      <c r="AJ118" s="15">
        <v>0.0</v>
      </c>
      <c r="AK118" s="21">
        <v>0.0</v>
      </c>
      <c r="AL118" s="22">
        <v>0.851612903225806</v>
      </c>
      <c r="AM118" s="15">
        <v>46.0</v>
      </c>
      <c r="AN118" s="15">
        <v>46.0</v>
      </c>
      <c r="AO118" s="23" t="s">
        <v>64</v>
      </c>
      <c r="AP118" s="23" t="s">
        <v>64</v>
      </c>
      <c r="AQ118" s="13" t="s">
        <v>108</v>
      </c>
      <c r="AR118" s="24" t="s">
        <v>66</v>
      </c>
      <c r="AS118" s="24"/>
      <c r="AT118" s="25" t="s">
        <v>452</v>
      </c>
      <c r="AU118" s="26" t="s">
        <v>68</v>
      </c>
      <c r="AV118" s="27"/>
      <c r="AW118" s="24" t="s">
        <v>69</v>
      </c>
      <c r="AX118" s="28"/>
      <c r="AY118" s="29" t="s">
        <v>122</v>
      </c>
      <c r="AZ118" s="30"/>
      <c r="BA118" s="25" t="s">
        <v>453</v>
      </c>
      <c r="BB118" s="26" t="s">
        <v>168</v>
      </c>
      <c r="BC118" s="123">
        <v>46056.0</v>
      </c>
      <c r="BD118" s="24"/>
      <c r="BE118" s="27"/>
      <c r="BF118" s="27"/>
      <c r="BG118" s="27"/>
      <c r="BH118" s="27"/>
    </row>
    <row r="119" ht="14.25" customHeight="1">
      <c r="A119" s="12" t="s">
        <v>454</v>
      </c>
      <c r="B119" s="12"/>
      <c r="C119" s="13"/>
      <c r="D119" s="14"/>
      <c r="E119" s="15"/>
      <c r="F119" s="15"/>
      <c r="G119" s="12"/>
      <c r="H119" s="16"/>
      <c r="I119" s="17">
        <v>0.5741</v>
      </c>
      <c r="J119" s="18"/>
      <c r="K119" s="18" t="s">
        <v>75</v>
      </c>
      <c r="L119" s="18" t="s">
        <v>76</v>
      </c>
      <c r="M119" s="18" t="s">
        <v>202</v>
      </c>
      <c r="N119" s="18"/>
      <c r="O119" s="18" t="s">
        <v>62</v>
      </c>
      <c r="P119" s="18" t="s">
        <v>62</v>
      </c>
      <c r="Q119" s="18" t="s">
        <v>62</v>
      </c>
      <c r="R119" s="15">
        <f t="shared" si="3"/>
        <v>0</v>
      </c>
      <c r="S119" s="15">
        <v>46.0</v>
      </c>
      <c r="T119" s="15">
        <v>24.0</v>
      </c>
      <c r="U119" s="20">
        <f t="shared" si="4"/>
        <v>0.5217391304</v>
      </c>
      <c r="V119" s="15">
        <f t="shared" si="5"/>
        <v>22</v>
      </c>
      <c r="W119" s="15">
        <v>24.0</v>
      </c>
      <c r="X119" s="20">
        <f t="shared" si="6"/>
        <v>0.5217391304</v>
      </c>
      <c r="Y119" s="15">
        <f t="shared" ref="Y119:Z119" si="242">AE119-W119</f>
        <v>22</v>
      </c>
      <c r="Z119" s="20">
        <f t="shared" si="242"/>
        <v>0.4782608696</v>
      </c>
      <c r="AA119" s="15">
        <v>24.0</v>
      </c>
      <c r="AB119" s="20">
        <f t="shared" si="8"/>
        <v>0.5217391304</v>
      </c>
      <c r="AC119" s="15">
        <f t="shared" ref="AC119:AD119" si="243">AE119-AA119</f>
        <v>22</v>
      </c>
      <c r="AD119" s="20">
        <f t="shared" si="243"/>
        <v>0.4782608696</v>
      </c>
      <c r="AE119" s="15">
        <v>46.0</v>
      </c>
      <c r="AF119" s="20">
        <f t="shared" si="10"/>
        <v>1</v>
      </c>
      <c r="AG119" s="15">
        <v>46.0</v>
      </c>
      <c r="AH119" s="20">
        <f t="shared" si="11"/>
        <v>1</v>
      </c>
      <c r="AI119" s="15">
        <v>46.0</v>
      </c>
      <c r="AJ119" s="15">
        <v>0.0</v>
      </c>
      <c r="AK119" s="21">
        <v>0.0</v>
      </c>
      <c r="AL119" s="22">
        <v>1.0</v>
      </c>
      <c r="AM119" s="15">
        <v>0.0</v>
      </c>
      <c r="AN119" s="15">
        <v>0.0</v>
      </c>
      <c r="AO119" s="23" t="s">
        <v>64</v>
      </c>
      <c r="AP119" s="23" t="s">
        <v>64</v>
      </c>
      <c r="AQ119" s="13" t="s">
        <v>104</v>
      </c>
      <c r="AR119" s="24" t="s">
        <v>66</v>
      </c>
      <c r="AS119" s="24"/>
      <c r="AT119" s="25" t="s">
        <v>455</v>
      </c>
      <c r="AU119" s="26" t="s">
        <v>68</v>
      </c>
      <c r="AV119" s="27"/>
      <c r="AW119" s="24" t="s">
        <v>79</v>
      </c>
      <c r="AX119" s="28"/>
      <c r="AY119" s="29" t="s">
        <v>110</v>
      </c>
      <c r="AZ119" s="32"/>
      <c r="BA119" s="25" t="s">
        <v>456</v>
      </c>
      <c r="BB119" s="26" t="s">
        <v>72</v>
      </c>
      <c r="BC119" s="31"/>
      <c r="BD119" s="24" t="s">
        <v>112</v>
      </c>
      <c r="BE119" s="27"/>
      <c r="BF119" s="27"/>
      <c r="BG119" s="27"/>
      <c r="BH119" s="27"/>
    </row>
    <row r="120" ht="14.25" customHeight="1">
      <c r="A120" s="57" t="s">
        <v>457</v>
      </c>
      <c r="B120" s="57"/>
      <c r="C120" s="59"/>
      <c r="D120" s="14"/>
      <c r="E120" s="124"/>
      <c r="F120" s="15"/>
      <c r="G120" s="12"/>
      <c r="H120" s="16"/>
      <c r="I120" s="17">
        <v>0.0</v>
      </c>
      <c r="J120" s="18"/>
      <c r="K120" s="18"/>
      <c r="L120" s="18" t="s">
        <v>84</v>
      </c>
      <c r="M120" s="18" t="s">
        <v>84</v>
      </c>
      <c r="N120" s="18"/>
      <c r="O120" s="18" t="s">
        <v>60</v>
      </c>
      <c r="P120" s="18" t="s">
        <v>60</v>
      </c>
      <c r="Q120" s="19" t="s">
        <v>60</v>
      </c>
      <c r="R120" s="15">
        <f t="shared" si="3"/>
        <v>0</v>
      </c>
      <c r="S120" s="15">
        <v>22.0</v>
      </c>
      <c r="T120" s="15">
        <v>0.0</v>
      </c>
      <c r="U120" s="20">
        <f t="shared" si="4"/>
        <v>0</v>
      </c>
      <c r="V120" s="15">
        <f t="shared" si="5"/>
        <v>22</v>
      </c>
      <c r="W120" s="15">
        <v>22.0</v>
      </c>
      <c r="X120" s="20">
        <f t="shared" si="6"/>
        <v>1</v>
      </c>
      <c r="Y120" s="15">
        <f t="shared" ref="Y120:Z120" si="244">AE120-W120</f>
        <v>0</v>
      </c>
      <c r="Z120" s="20">
        <f t="shared" si="244"/>
        <v>0</v>
      </c>
      <c r="AA120" s="15">
        <v>22.0</v>
      </c>
      <c r="AB120" s="20">
        <f t="shared" si="8"/>
        <v>1</v>
      </c>
      <c r="AC120" s="15">
        <f t="shared" ref="AC120:AD120" si="245">AE120-AA120</f>
        <v>0</v>
      </c>
      <c r="AD120" s="20">
        <f t="shared" si="245"/>
        <v>0</v>
      </c>
      <c r="AE120" s="15">
        <v>22.0</v>
      </c>
      <c r="AF120" s="20">
        <f t="shared" si="10"/>
        <v>1</v>
      </c>
      <c r="AG120" s="15">
        <v>22.0</v>
      </c>
      <c r="AH120" s="20">
        <f t="shared" si="11"/>
        <v>1</v>
      </c>
      <c r="AI120" s="15">
        <v>22.0</v>
      </c>
      <c r="AJ120" s="15">
        <v>0.0</v>
      </c>
      <c r="AK120" s="21">
        <v>0.0</v>
      </c>
      <c r="AL120" s="22">
        <v>1.0</v>
      </c>
      <c r="AM120" s="15">
        <v>0.0</v>
      </c>
      <c r="AN120" s="15">
        <v>0.0</v>
      </c>
      <c r="AO120" s="23" t="s">
        <v>63</v>
      </c>
      <c r="AP120" s="23" t="s">
        <v>64</v>
      </c>
      <c r="AQ120" s="13" t="s">
        <v>93</v>
      </c>
      <c r="AR120" s="24" t="s">
        <v>66</v>
      </c>
      <c r="AS120" s="24"/>
      <c r="AT120" s="52" t="s">
        <v>458</v>
      </c>
      <c r="AU120" s="26" t="s">
        <v>118</v>
      </c>
      <c r="AV120" s="27"/>
      <c r="AW120" s="24" t="s">
        <v>133</v>
      </c>
      <c r="AX120" s="36">
        <v>46001.0</v>
      </c>
      <c r="AY120" s="29" t="s">
        <v>173</v>
      </c>
      <c r="AZ120" s="29"/>
      <c r="BA120" s="28"/>
      <c r="BB120" s="26"/>
      <c r="BC120" s="27"/>
      <c r="BD120" s="24"/>
      <c r="BE120" s="72"/>
      <c r="BF120" s="27"/>
      <c r="BG120" s="27"/>
      <c r="BH120" s="27"/>
    </row>
    <row r="121" ht="14.25" customHeight="1">
      <c r="A121" s="12" t="s">
        <v>459</v>
      </c>
      <c r="B121" s="12"/>
      <c r="C121" s="13"/>
      <c r="D121" s="14"/>
      <c r="E121" s="15"/>
      <c r="F121" s="15"/>
      <c r="G121" s="12"/>
      <c r="H121" s="16"/>
      <c r="I121" s="17">
        <v>0.25</v>
      </c>
      <c r="J121" s="18"/>
      <c r="K121" s="18" t="s">
        <v>62</v>
      </c>
      <c r="L121" s="18" t="s">
        <v>62</v>
      </c>
      <c r="M121" s="18" t="s">
        <v>202</v>
      </c>
      <c r="N121" s="18"/>
      <c r="O121" s="18" t="s">
        <v>62</v>
      </c>
      <c r="P121" s="18" t="s">
        <v>62</v>
      </c>
      <c r="Q121" s="19" t="s">
        <v>60</v>
      </c>
      <c r="R121" s="15">
        <f t="shared" si="3"/>
        <v>0</v>
      </c>
      <c r="S121" s="15">
        <v>15.0</v>
      </c>
      <c r="T121" s="15">
        <v>1.0</v>
      </c>
      <c r="U121" s="20">
        <f t="shared" si="4"/>
        <v>0.06666666667</v>
      </c>
      <c r="V121" s="15">
        <f t="shared" si="5"/>
        <v>14</v>
      </c>
      <c r="W121" s="15">
        <v>1.0</v>
      </c>
      <c r="X121" s="20">
        <f t="shared" si="6"/>
        <v>0.06666666667</v>
      </c>
      <c r="Y121" s="15">
        <f t="shared" ref="Y121:Z121" si="246">AE121-W121</f>
        <v>14</v>
      </c>
      <c r="Z121" s="20">
        <f t="shared" si="246"/>
        <v>0.9333333333</v>
      </c>
      <c r="AA121" s="15">
        <v>15.0</v>
      </c>
      <c r="AB121" s="20">
        <f t="shared" si="8"/>
        <v>1</v>
      </c>
      <c r="AC121" s="15">
        <f t="shared" ref="AC121:AD121" si="247">AE121-AA121</f>
        <v>0</v>
      </c>
      <c r="AD121" s="20">
        <f t="shared" si="247"/>
        <v>0</v>
      </c>
      <c r="AE121" s="15">
        <v>15.0</v>
      </c>
      <c r="AF121" s="20">
        <f t="shared" si="10"/>
        <v>1</v>
      </c>
      <c r="AG121" s="15">
        <v>15.0</v>
      </c>
      <c r="AH121" s="20">
        <f t="shared" si="11"/>
        <v>1</v>
      </c>
      <c r="AI121" s="15">
        <v>15.0</v>
      </c>
      <c r="AJ121" s="15">
        <v>0.0</v>
      </c>
      <c r="AK121" s="21">
        <v>0.0</v>
      </c>
      <c r="AL121" s="22">
        <v>1.0</v>
      </c>
      <c r="AM121" s="15">
        <v>0.0</v>
      </c>
      <c r="AN121" s="15">
        <v>0.0</v>
      </c>
      <c r="AO121" s="23" t="s">
        <v>63</v>
      </c>
      <c r="AP121" s="23" t="s">
        <v>64</v>
      </c>
      <c r="AQ121" s="13" t="s">
        <v>108</v>
      </c>
      <c r="AR121" s="24" t="s">
        <v>66</v>
      </c>
      <c r="AS121" s="24"/>
      <c r="AT121" s="25" t="s">
        <v>460</v>
      </c>
      <c r="AU121" s="26" t="s">
        <v>68</v>
      </c>
      <c r="AV121" s="36"/>
      <c r="AW121" s="24" t="s">
        <v>69</v>
      </c>
      <c r="AX121" s="27"/>
      <c r="AY121" s="29" t="s">
        <v>412</v>
      </c>
      <c r="AZ121" s="32"/>
      <c r="BA121" s="25" t="s">
        <v>461</v>
      </c>
      <c r="BB121" s="26" t="s">
        <v>72</v>
      </c>
      <c r="BC121" s="27"/>
      <c r="BD121" s="34" t="s">
        <v>91</v>
      </c>
      <c r="BE121" s="38"/>
      <c r="BF121" s="27"/>
      <c r="BG121" s="27"/>
      <c r="BH121" s="27"/>
    </row>
    <row r="122" ht="14.25" customHeight="1">
      <c r="A122" s="12" t="s">
        <v>462</v>
      </c>
      <c r="B122" s="12"/>
      <c r="C122" s="13"/>
      <c r="D122" s="14"/>
      <c r="E122" s="15"/>
      <c r="F122" s="15"/>
      <c r="G122" s="12"/>
      <c r="H122" s="16"/>
      <c r="I122" s="17">
        <v>0.0</v>
      </c>
      <c r="J122" s="18"/>
      <c r="K122" s="18"/>
      <c r="L122" s="18" t="s">
        <v>84</v>
      </c>
      <c r="M122" s="18" t="s">
        <v>84</v>
      </c>
      <c r="N122" s="18"/>
      <c r="O122" s="18" t="s">
        <v>60</v>
      </c>
      <c r="P122" s="18" t="s">
        <v>60</v>
      </c>
      <c r="Q122" s="19" t="s">
        <v>60</v>
      </c>
      <c r="R122" s="15">
        <f t="shared" si="3"/>
        <v>0</v>
      </c>
      <c r="S122" s="15">
        <v>26.0</v>
      </c>
      <c r="T122" s="15">
        <v>0.0</v>
      </c>
      <c r="U122" s="20">
        <f t="shared" si="4"/>
        <v>0</v>
      </c>
      <c r="V122" s="15">
        <f t="shared" si="5"/>
        <v>26</v>
      </c>
      <c r="W122" s="15">
        <v>26.0</v>
      </c>
      <c r="X122" s="20">
        <f t="shared" si="6"/>
        <v>1</v>
      </c>
      <c r="Y122" s="15">
        <f t="shared" ref="Y122:Z122" si="248">AE122-W122</f>
        <v>0</v>
      </c>
      <c r="Z122" s="20">
        <f t="shared" si="248"/>
        <v>0</v>
      </c>
      <c r="AA122" s="15">
        <v>26.0</v>
      </c>
      <c r="AB122" s="20">
        <f t="shared" si="8"/>
        <v>1</v>
      </c>
      <c r="AC122" s="15">
        <f t="shared" ref="AC122:AD122" si="249">AE122-AA122</f>
        <v>0</v>
      </c>
      <c r="AD122" s="20">
        <f t="shared" si="249"/>
        <v>0</v>
      </c>
      <c r="AE122" s="15">
        <v>26.0</v>
      </c>
      <c r="AF122" s="20">
        <f t="shared" si="10"/>
        <v>1</v>
      </c>
      <c r="AG122" s="15">
        <v>26.0</v>
      </c>
      <c r="AH122" s="20">
        <f t="shared" si="11"/>
        <v>1</v>
      </c>
      <c r="AI122" s="15">
        <v>26.0</v>
      </c>
      <c r="AJ122" s="15">
        <v>0.0</v>
      </c>
      <c r="AK122" s="21">
        <v>0.0</v>
      </c>
      <c r="AL122" s="22">
        <v>1.0</v>
      </c>
      <c r="AM122" s="15">
        <v>0.0</v>
      </c>
      <c r="AN122" s="15">
        <v>0.0</v>
      </c>
      <c r="AO122" s="23" t="s">
        <v>64</v>
      </c>
      <c r="AP122" s="23" t="s">
        <v>64</v>
      </c>
      <c r="AQ122" s="13" t="s">
        <v>93</v>
      </c>
      <c r="AR122" s="24" t="s">
        <v>66</v>
      </c>
      <c r="AS122" s="24"/>
      <c r="AT122" s="25" t="s">
        <v>463</v>
      </c>
      <c r="AU122" s="26" t="s">
        <v>68</v>
      </c>
      <c r="AV122" s="27"/>
      <c r="AW122" s="24" t="s">
        <v>69</v>
      </c>
      <c r="AX122" s="27"/>
      <c r="AY122" s="29" t="s">
        <v>173</v>
      </c>
      <c r="AZ122" s="29"/>
      <c r="BA122" s="28"/>
      <c r="BB122" s="26" t="s">
        <v>90</v>
      </c>
      <c r="BC122" s="27"/>
      <c r="BD122" s="24" t="s">
        <v>91</v>
      </c>
      <c r="BE122" s="72"/>
      <c r="BF122" s="27"/>
      <c r="BG122" s="27"/>
      <c r="BH122" s="27"/>
    </row>
    <row r="123" ht="14.25" customHeight="1">
      <c r="A123" s="12" t="s">
        <v>464</v>
      </c>
      <c r="B123" s="12"/>
      <c r="C123" s="13"/>
      <c r="D123" s="14"/>
      <c r="E123" s="15"/>
      <c r="F123" s="15"/>
      <c r="G123" s="12"/>
      <c r="H123" s="16"/>
      <c r="I123" s="17">
        <v>0.6667</v>
      </c>
      <c r="J123" s="18"/>
      <c r="K123" s="18" t="s">
        <v>62</v>
      </c>
      <c r="L123" s="18" t="s">
        <v>62</v>
      </c>
      <c r="M123" s="18" t="s">
        <v>202</v>
      </c>
      <c r="N123" s="18"/>
      <c r="O123" s="18" t="s">
        <v>62</v>
      </c>
      <c r="P123" s="18" t="s">
        <v>62</v>
      </c>
      <c r="Q123" s="18" t="s">
        <v>62</v>
      </c>
      <c r="R123" s="15">
        <f t="shared" si="3"/>
        <v>0</v>
      </c>
      <c r="S123" s="15">
        <v>17.0</v>
      </c>
      <c r="T123" s="15">
        <v>11.0</v>
      </c>
      <c r="U123" s="20">
        <f t="shared" si="4"/>
        <v>0.6470588235</v>
      </c>
      <c r="V123" s="15">
        <f t="shared" si="5"/>
        <v>4</v>
      </c>
      <c r="W123" s="15">
        <v>11.0</v>
      </c>
      <c r="X123" s="20">
        <f t="shared" si="6"/>
        <v>0.6470588235</v>
      </c>
      <c r="Y123" s="15">
        <f t="shared" ref="Y123:Z123" si="250">AE123-W123</f>
        <v>4</v>
      </c>
      <c r="Z123" s="20">
        <f t="shared" si="250"/>
        <v>0.2352941176</v>
      </c>
      <c r="AA123" s="15">
        <v>11.0</v>
      </c>
      <c r="AB123" s="20">
        <f t="shared" si="8"/>
        <v>0.6470588235</v>
      </c>
      <c r="AC123" s="15">
        <f t="shared" ref="AC123:AD123" si="251">AE123-AA123</f>
        <v>4</v>
      </c>
      <c r="AD123" s="20">
        <f t="shared" si="251"/>
        <v>0.2352941176</v>
      </c>
      <c r="AE123" s="15">
        <v>15.0</v>
      </c>
      <c r="AF123" s="20">
        <f t="shared" si="10"/>
        <v>0.8823529412</v>
      </c>
      <c r="AG123" s="15">
        <v>15.0</v>
      </c>
      <c r="AH123" s="20">
        <f t="shared" si="11"/>
        <v>0.8823529412</v>
      </c>
      <c r="AI123" s="15">
        <v>15.0</v>
      </c>
      <c r="AJ123" s="15">
        <v>0.0</v>
      </c>
      <c r="AK123" s="21">
        <v>0.0</v>
      </c>
      <c r="AL123" s="22">
        <v>0.882352941176471</v>
      </c>
      <c r="AM123" s="15">
        <v>0.0</v>
      </c>
      <c r="AN123" s="15">
        <v>2.0</v>
      </c>
      <c r="AO123" s="23" t="s">
        <v>63</v>
      </c>
      <c r="AP123" s="23" t="s">
        <v>64</v>
      </c>
      <c r="AQ123" s="13" t="s">
        <v>77</v>
      </c>
      <c r="AR123" s="24" t="s">
        <v>130</v>
      </c>
      <c r="AS123" s="24"/>
      <c r="AT123" s="25" t="s">
        <v>465</v>
      </c>
      <c r="AU123" s="26" t="s">
        <v>68</v>
      </c>
      <c r="AV123" s="36"/>
      <c r="AW123" s="24" t="s">
        <v>69</v>
      </c>
      <c r="AX123" s="27"/>
      <c r="AY123" s="29" t="s">
        <v>110</v>
      </c>
      <c r="AZ123" s="32"/>
      <c r="BA123" s="25" t="s">
        <v>466</v>
      </c>
      <c r="BB123" s="26" t="s">
        <v>72</v>
      </c>
      <c r="BC123" s="27"/>
      <c r="BD123" s="24" t="s">
        <v>112</v>
      </c>
      <c r="BE123" s="25"/>
      <c r="BF123" s="27"/>
      <c r="BG123" s="27"/>
      <c r="BH123" s="27"/>
    </row>
    <row r="124" ht="14.25" customHeight="1">
      <c r="A124" s="12" t="s">
        <v>467</v>
      </c>
      <c r="B124" s="12"/>
      <c r="C124" s="13"/>
      <c r="D124" s="14"/>
      <c r="E124" s="15"/>
      <c r="F124" s="19"/>
      <c r="G124" s="39"/>
      <c r="H124" s="18"/>
      <c r="I124" s="17">
        <v>1.0</v>
      </c>
      <c r="J124" s="18"/>
      <c r="K124" s="18"/>
      <c r="L124" s="18" t="s">
        <v>270</v>
      </c>
      <c r="M124" s="18" t="s">
        <v>60</v>
      </c>
      <c r="N124" s="18"/>
      <c r="O124" s="18" t="s">
        <v>60</v>
      </c>
      <c r="P124" s="18" t="s">
        <v>60</v>
      </c>
      <c r="Q124" s="19" t="s">
        <v>60</v>
      </c>
      <c r="R124" s="15">
        <f t="shared" si="3"/>
        <v>0</v>
      </c>
      <c r="S124" s="15">
        <v>21.0</v>
      </c>
      <c r="T124" s="15">
        <v>21.0</v>
      </c>
      <c r="U124" s="20">
        <f t="shared" si="4"/>
        <v>1</v>
      </c>
      <c r="V124" s="15">
        <f t="shared" si="5"/>
        <v>0</v>
      </c>
      <c r="W124" s="15">
        <v>21.0</v>
      </c>
      <c r="X124" s="20">
        <f t="shared" si="6"/>
        <v>1</v>
      </c>
      <c r="Y124" s="15">
        <f t="shared" ref="Y124:Z124" si="252">AE124-W124</f>
        <v>0</v>
      </c>
      <c r="Z124" s="20">
        <f t="shared" si="252"/>
        <v>0</v>
      </c>
      <c r="AA124" s="15">
        <v>21.0</v>
      </c>
      <c r="AB124" s="20">
        <f t="shared" si="8"/>
        <v>1</v>
      </c>
      <c r="AC124" s="15">
        <f t="shared" ref="AC124:AD124" si="253">AE124-AA124</f>
        <v>0</v>
      </c>
      <c r="AD124" s="20">
        <f t="shared" si="253"/>
        <v>0</v>
      </c>
      <c r="AE124" s="15">
        <v>21.0</v>
      </c>
      <c r="AF124" s="20">
        <f t="shared" si="10"/>
        <v>1</v>
      </c>
      <c r="AG124" s="15">
        <v>21.0</v>
      </c>
      <c r="AH124" s="20">
        <f t="shared" si="11"/>
        <v>1</v>
      </c>
      <c r="AI124" s="15">
        <v>21.0</v>
      </c>
      <c r="AJ124" s="15">
        <v>0.0</v>
      </c>
      <c r="AK124" s="21">
        <v>0.0</v>
      </c>
      <c r="AL124" s="22">
        <v>1.0</v>
      </c>
      <c r="AM124" s="15">
        <v>0.0</v>
      </c>
      <c r="AN124" s="15">
        <v>0.0</v>
      </c>
      <c r="AO124" s="23" t="s">
        <v>63</v>
      </c>
      <c r="AP124" s="23" t="s">
        <v>64</v>
      </c>
      <c r="AQ124" s="13" t="s">
        <v>108</v>
      </c>
      <c r="AR124" s="24" t="s">
        <v>66</v>
      </c>
      <c r="AS124" s="24"/>
      <c r="AT124" s="52" t="s">
        <v>468</v>
      </c>
      <c r="AU124" s="26" t="s">
        <v>118</v>
      </c>
      <c r="AV124" s="27"/>
      <c r="AW124" s="24" t="s">
        <v>133</v>
      </c>
      <c r="AX124" s="36">
        <v>46001.0</v>
      </c>
      <c r="AY124" s="29" t="s">
        <v>173</v>
      </c>
      <c r="AZ124" s="29"/>
      <c r="BA124" s="28"/>
      <c r="BB124" s="26"/>
      <c r="BC124" s="27"/>
      <c r="BD124" s="24"/>
      <c r="BE124" s="72"/>
      <c r="BF124" s="27"/>
      <c r="BG124" s="27"/>
      <c r="BH124" s="27"/>
    </row>
    <row r="125" ht="14.25" customHeight="1">
      <c r="A125" s="12" t="s">
        <v>469</v>
      </c>
      <c r="B125" s="12"/>
      <c r="C125" s="13"/>
      <c r="D125" s="14"/>
      <c r="E125" s="15"/>
      <c r="F125" s="19"/>
      <c r="G125" s="39"/>
      <c r="H125" s="18"/>
      <c r="I125" s="17">
        <v>0.1856</v>
      </c>
      <c r="J125" s="18"/>
      <c r="K125" s="18" t="s">
        <v>62</v>
      </c>
      <c r="L125" s="18" t="s">
        <v>76</v>
      </c>
      <c r="M125" s="18" t="s">
        <v>202</v>
      </c>
      <c r="N125" s="18"/>
      <c r="O125" s="18" t="s">
        <v>62</v>
      </c>
      <c r="P125" s="18" t="s">
        <v>62</v>
      </c>
      <c r="Q125" s="18" t="s">
        <v>62</v>
      </c>
      <c r="R125" s="15">
        <f t="shared" si="3"/>
        <v>0</v>
      </c>
      <c r="S125" s="15">
        <v>82.0</v>
      </c>
      <c r="T125" s="15">
        <v>8.0</v>
      </c>
      <c r="U125" s="20">
        <f t="shared" si="4"/>
        <v>0.09756097561</v>
      </c>
      <c r="V125" s="15">
        <f t="shared" si="5"/>
        <v>15</v>
      </c>
      <c r="W125" s="15">
        <v>8.0</v>
      </c>
      <c r="X125" s="20">
        <f t="shared" si="6"/>
        <v>0.09756097561</v>
      </c>
      <c r="Y125" s="15">
        <f t="shared" ref="Y125:Z125" si="254">AE125-W125</f>
        <v>8</v>
      </c>
      <c r="Z125" s="20">
        <f t="shared" si="254"/>
        <v>0.09756097561</v>
      </c>
      <c r="AA125" s="15">
        <v>8.0</v>
      </c>
      <c r="AB125" s="20">
        <f t="shared" si="8"/>
        <v>0.09756097561</v>
      </c>
      <c r="AC125" s="15">
        <f t="shared" ref="AC125:AD125" si="255">AE125-AA125</f>
        <v>8</v>
      </c>
      <c r="AD125" s="20">
        <f t="shared" si="255"/>
        <v>0.09756097561</v>
      </c>
      <c r="AE125" s="15">
        <v>16.0</v>
      </c>
      <c r="AF125" s="20">
        <f t="shared" si="10"/>
        <v>0.1951219512</v>
      </c>
      <c r="AG125" s="15">
        <v>16.0</v>
      </c>
      <c r="AH125" s="20">
        <f t="shared" si="11"/>
        <v>0.1951219512</v>
      </c>
      <c r="AI125" s="15">
        <v>23.0</v>
      </c>
      <c r="AJ125" s="15">
        <v>1.0</v>
      </c>
      <c r="AK125" s="21">
        <v>0.0</v>
      </c>
      <c r="AL125" s="22">
        <v>0.292682926829268</v>
      </c>
      <c r="AM125" s="15">
        <v>59.0</v>
      </c>
      <c r="AN125" s="15">
        <v>58.0</v>
      </c>
      <c r="AO125" s="23" t="s">
        <v>63</v>
      </c>
      <c r="AP125" s="23" t="s">
        <v>64</v>
      </c>
      <c r="AQ125" s="13" t="s">
        <v>77</v>
      </c>
      <c r="AR125" s="24" t="s">
        <v>130</v>
      </c>
      <c r="AS125" s="24"/>
      <c r="AT125" s="25" t="s">
        <v>470</v>
      </c>
      <c r="AU125" s="26" t="s">
        <v>118</v>
      </c>
      <c r="AV125" s="27"/>
      <c r="AW125" s="24" t="s">
        <v>133</v>
      </c>
      <c r="AX125" s="42">
        <v>46002.0</v>
      </c>
      <c r="AY125" s="29" t="s">
        <v>89</v>
      </c>
      <c r="AZ125" s="29"/>
      <c r="BA125" s="28"/>
      <c r="BB125" s="26" t="s">
        <v>90</v>
      </c>
      <c r="BC125" s="27"/>
      <c r="BD125" s="34" t="s">
        <v>91</v>
      </c>
      <c r="BE125" s="38"/>
      <c r="BF125" s="27"/>
      <c r="BG125" s="27"/>
      <c r="BH125" s="27"/>
    </row>
    <row r="126" ht="14.25" customHeight="1">
      <c r="A126" s="12" t="s">
        <v>471</v>
      </c>
      <c r="B126" s="12"/>
      <c r="C126" s="13"/>
      <c r="D126" s="14"/>
      <c r="E126" s="15"/>
      <c r="F126" s="15"/>
      <c r="G126" s="12"/>
      <c r="H126" s="16"/>
      <c r="I126" s="17">
        <v>0.0909</v>
      </c>
      <c r="J126" s="18"/>
      <c r="K126" s="18" t="s">
        <v>62</v>
      </c>
      <c r="L126" s="18" t="s">
        <v>62</v>
      </c>
      <c r="M126" s="18" t="s">
        <v>62</v>
      </c>
      <c r="N126" s="18"/>
      <c r="O126" s="18" t="s">
        <v>62</v>
      </c>
      <c r="P126" s="18" t="s">
        <v>86</v>
      </c>
      <c r="Q126" s="19" t="s">
        <v>129</v>
      </c>
      <c r="R126" s="15">
        <f t="shared" si="3"/>
        <v>0</v>
      </c>
      <c r="S126" s="15">
        <v>15.0</v>
      </c>
      <c r="T126" s="15">
        <v>2.0</v>
      </c>
      <c r="U126" s="20">
        <f t="shared" si="4"/>
        <v>0.1333333333</v>
      </c>
      <c r="V126" s="15">
        <f t="shared" si="5"/>
        <v>13</v>
      </c>
      <c r="W126" s="15">
        <v>4.0</v>
      </c>
      <c r="X126" s="20">
        <f t="shared" si="6"/>
        <v>0.2666666667</v>
      </c>
      <c r="Y126" s="15">
        <f t="shared" ref="Y126:Z126" si="256">AE126-W126</f>
        <v>11</v>
      </c>
      <c r="Z126" s="20">
        <f t="shared" si="256"/>
        <v>0.7333333333</v>
      </c>
      <c r="AA126" s="15">
        <v>4.0</v>
      </c>
      <c r="AB126" s="20">
        <f t="shared" si="8"/>
        <v>0.2666666667</v>
      </c>
      <c r="AC126" s="15">
        <f t="shared" ref="AC126:AD126" si="257">AE126-AA126</f>
        <v>11</v>
      </c>
      <c r="AD126" s="20">
        <f t="shared" si="257"/>
        <v>0.7333333333</v>
      </c>
      <c r="AE126" s="15">
        <v>15.0</v>
      </c>
      <c r="AF126" s="20">
        <f t="shared" si="10"/>
        <v>1</v>
      </c>
      <c r="AG126" s="15">
        <v>15.0</v>
      </c>
      <c r="AH126" s="20">
        <f t="shared" si="11"/>
        <v>1</v>
      </c>
      <c r="AI126" s="15">
        <v>15.0</v>
      </c>
      <c r="AJ126" s="15">
        <v>0.0</v>
      </c>
      <c r="AK126" s="21">
        <v>0.0</v>
      </c>
      <c r="AL126" s="22">
        <v>1.0</v>
      </c>
      <c r="AM126" s="15">
        <v>0.0</v>
      </c>
      <c r="AN126" s="15">
        <v>0.0</v>
      </c>
      <c r="AO126" s="23" t="s">
        <v>63</v>
      </c>
      <c r="AP126" s="23" t="s">
        <v>64</v>
      </c>
      <c r="AQ126" s="13" t="e">
        <v>#N/A</v>
      </c>
      <c r="AR126" s="24" t="s">
        <v>66</v>
      </c>
      <c r="AS126" s="24"/>
      <c r="AT126" s="25" t="s">
        <v>472</v>
      </c>
      <c r="AU126" s="26" t="s">
        <v>68</v>
      </c>
      <c r="AV126" s="36"/>
      <c r="AW126" s="24" t="s">
        <v>79</v>
      </c>
      <c r="AX126" s="28"/>
      <c r="AY126" s="29" t="s">
        <v>89</v>
      </c>
      <c r="AZ126" s="29"/>
      <c r="BA126" s="25"/>
      <c r="BB126" s="26" t="s">
        <v>90</v>
      </c>
      <c r="BC126" s="24"/>
      <c r="BD126" s="34" t="s">
        <v>91</v>
      </c>
      <c r="BE126" s="35"/>
      <c r="BF126" s="24"/>
      <c r="BG126" s="24"/>
      <c r="BH126" s="24"/>
    </row>
    <row r="127" ht="14.25" customHeight="1">
      <c r="A127" s="12" t="s">
        <v>473</v>
      </c>
      <c r="B127" s="12"/>
      <c r="C127" s="13"/>
      <c r="D127" s="14"/>
      <c r="E127" s="15"/>
      <c r="F127" s="15"/>
      <c r="G127" s="12"/>
      <c r="H127" s="16"/>
      <c r="I127" s="17">
        <v>0.1692</v>
      </c>
      <c r="J127" s="18"/>
      <c r="K127" s="18" t="s">
        <v>62</v>
      </c>
      <c r="L127" s="18" t="s">
        <v>62</v>
      </c>
      <c r="M127" s="18" t="s">
        <v>202</v>
      </c>
      <c r="N127" s="18"/>
      <c r="O127" s="18" t="s">
        <v>62</v>
      </c>
      <c r="P127" s="18" t="s">
        <v>86</v>
      </c>
      <c r="Q127" s="19" t="s">
        <v>60</v>
      </c>
      <c r="R127" s="15">
        <f t="shared" si="3"/>
        <v>0</v>
      </c>
      <c r="S127" s="15">
        <v>35.0</v>
      </c>
      <c r="T127" s="15">
        <v>2.0</v>
      </c>
      <c r="U127" s="20">
        <f t="shared" si="4"/>
        <v>0.05714285714</v>
      </c>
      <c r="V127" s="15">
        <f t="shared" si="5"/>
        <v>13</v>
      </c>
      <c r="W127" s="15">
        <v>2.0</v>
      </c>
      <c r="X127" s="20">
        <f t="shared" si="6"/>
        <v>0.05714285714</v>
      </c>
      <c r="Y127" s="15">
        <f t="shared" ref="Y127:Z127" si="258">AE127-W127</f>
        <v>14</v>
      </c>
      <c r="Z127" s="20">
        <f t="shared" si="258"/>
        <v>0.4</v>
      </c>
      <c r="AA127" s="15">
        <v>16.0</v>
      </c>
      <c r="AB127" s="20">
        <f t="shared" si="8"/>
        <v>0.4571428571</v>
      </c>
      <c r="AC127" s="15">
        <f t="shared" ref="AC127:AD127" si="259">AE127-AA127</f>
        <v>0</v>
      </c>
      <c r="AD127" s="20">
        <f t="shared" si="259"/>
        <v>0</v>
      </c>
      <c r="AE127" s="15">
        <v>16.0</v>
      </c>
      <c r="AF127" s="20">
        <f t="shared" si="10"/>
        <v>0.4571428571</v>
      </c>
      <c r="AG127" s="15">
        <v>16.0</v>
      </c>
      <c r="AH127" s="20">
        <f t="shared" si="11"/>
        <v>0.4571428571</v>
      </c>
      <c r="AI127" s="15">
        <v>15.0</v>
      </c>
      <c r="AJ127" s="15">
        <v>1.0</v>
      </c>
      <c r="AK127" s="21">
        <v>0.0</v>
      </c>
      <c r="AL127" s="22">
        <v>0.457142857142857</v>
      </c>
      <c r="AM127" s="15">
        <v>20.0</v>
      </c>
      <c r="AN127" s="15">
        <v>19.0</v>
      </c>
      <c r="AO127" s="23" t="s">
        <v>64</v>
      </c>
      <c r="AP127" s="23" t="s">
        <v>64</v>
      </c>
      <c r="AQ127" s="13" t="s">
        <v>108</v>
      </c>
      <c r="AR127" s="24" t="s">
        <v>66</v>
      </c>
      <c r="AS127" s="24"/>
      <c r="AT127" s="25" t="s">
        <v>474</v>
      </c>
      <c r="AU127" s="26" t="s">
        <v>68</v>
      </c>
      <c r="AV127" s="27"/>
      <c r="AW127" s="24" t="s">
        <v>69</v>
      </c>
      <c r="AX127" s="28"/>
      <c r="AY127" s="29" t="s">
        <v>412</v>
      </c>
      <c r="AZ127" s="32"/>
      <c r="BA127" s="25" t="s">
        <v>475</v>
      </c>
      <c r="BB127" s="26" t="s">
        <v>72</v>
      </c>
      <c r="BC127" s="27"/>
      <c r="BD127" s="34" t="s">
        <v>91</v>
      </c>
      <c r="BE127" s="38"/>
      <c r="BF127" s="27"/>
      <c r="BG127" s="27"/>
      <c r="BH127" s="27"/>
    </row>
    <row r="128" ht="14.25" customHeight="1">
      <c r="A128" s="73" t="s">
        <v>476</v>
      </c>
      <c r="B128" s="73"/>
      <c r="C128" s="85"/>
      <c r="D128" s="75"/>
      <c r="E128" s="76"/>
      <c r="F128" s="76"/>
      <c r="G128" s="73"/>
      <c r="H128" s="77"/>
      <c r="I128" s="78">
        <v>0.2561</v>
      </c>
      <c r="J128" s="79" t="s">
        <v>477</v>
      </c>
      <c r="K128" s="79" t="s">
        <v>98</v>
      </c>
      <c r="L128" s="79" t="s">
        <v>85</v>
      </c>
      <c r="M128" s="79" t="s">
        <v>85</v>
      </c>
      <c r="N128" s="79" t="s">
        <v>62</v>
      </c>
      <c r="O128" s="79" t="s">
        <v>86</v>
      </c>
      <c r="P128" s="79" t="s">
        <v>129</v>
      </c>
      <c r="Q128" s="80" t="s">
        <v>60</v>
      </c>
      <c r="R128" s="76">
        <f t="shared" si="3"/>
        <v>0</v>
      </c>
      <c r="S128" s="76">
        <v>69.0</v>
      </c>
      <c r="T128" s="76">
        <v>11.0</v>
      </c>
      <c r="U128" s="20">
        <f t="shared" si="4"/>
        <v>0.1594202899</v>
      </c>
      <c r="V128" s="15">
        <f t="shared" si="5"/>
        <v>7</v>
      </c>
      <c r="W128" s="76">
        <v>11.0</v>
      </c>
      <c r="X128" s="81">
        <f t="shared" si="6"/>
        <v>0.1594202899</v>
      </c>
      <c r="Y128" s="76">
        <f t="shared" ref="Y128:Z128" si="260">AE128-W128</f>
        <v>7</v>
      </c>
      <c r="Z128" s="81">
        <f t="shared" si="260"/>
        <v>0.1014492754</v>
      </c>
      <c r="AA128" s="76">
        <v>18.0</v>
      </c>
      <c r="AB128" s="81">
        <f t="shared" si="8"/>
        <v>0.2608695652</v>
      </c>
      <c r="AC128" s="76">
        <f t="shared" ref="AC128:AD128" si="261">AE128-AA128</f>
        <v>0</v>
      </c>
      <c r="AD128" s="81">
        <f t="shared" si="261"/>
        <v>0</v>
      </c>
      <c r="AE128" s="76">
        <v>18.0</v>
      </c>
      <c r="AF128" s="81">
        <f t="shared" si="10"/>
        <v>0.2608695652</v>
      </c>
      <c r="AG128" s="76">
        <v>18.0</v>
      </c>
      <c r="AH128" s="81">
        <f t="shared" si="11"/>
        <v>0.2608695652</v>
      </c>
      <c r="AI128" s="76">
        <v>18.0</v>
      </c>
      <c r="AJ128" s="76">
        <v>0.0</v>
      </c>
      <c r="AK128" s="82">
        <v>0.0</v>
      </c>
      <c r="AL128" s="83">
        <v>0.260869565217391</v>
      </c>
      <c r="AM128" s="76">
        <v>51.0</v>
      </c>
      <c r="AN128" s="76">
        <v>51.0</v>
      </c>
      <c r="AO128" s="84" t="s">
        <v>63</v>
      </c>
      <c r="AP128" s="84" t="s">
        <v>64</v>
      </c>
      <c r="AQ128" s="85" t="s">
        <v>65</v>
      </c>
      <c r="AR128" s="86" t="s">
        <v>66</v>
      </c>
      <c r="AS128" s="86"/>
      <c r="AT128" s="87" t="s">
        <v>478</v>
      </c>
      <c r="AU128" s="88" t="s">
        <v>68</v>
      </c>
      <c r="AV128" s="93"/>
      <c r="AW128" s="86" t="s">
        <v>79</v>
      </c>
      <c r="AX128" s="90"/>
      <c r="AY128" s="91" t="s">
        <v>371</v>
      </c>
      <c r="AZ128" s="30"/>
      <c r="BA128" s="92" t="s">
        <v>479</v>
      </c>
      <c r="BB128" s="88" t="s">
        <v>90</v>
      </c>
      <c r="BC128" s="93"/>
      <c r="BD128" s="94" t="s">
        <v>91</v>
      </c>
      <c r="BE128" s="94" t="s">
        <v>81</v>
      </c>
      <c r="BF128" s="93"/>
      <c r="BG128" s="93"/>
      <c r="BH128" s="93"/>
    </row>
    <row r="129" ht="14.25" customHeight="1">
      <c r="A129" s="12" t="s">
        <v>480</v>
      </c>
      <c r="B129" s="12"/>
      <c r="C129" s="13"/>
      <c r="D129" s="14"/>
      <c r="E129" s="15"/>
      <c r="F129" s="15"/>
      <c r="G129" s="12"/>
      <c r="H129" s="16"/>
      <c r="I129" s="17">
        <v>0.0026</v>
      </c>
      <c r="J129" s="18"/>
      <c r="K129" s="18"/>
      <c r="L129" s="18" t="s">
        <v>84</v>
      </c>
      <c r="M129" s="18" t="s">
        <v>62</v>
      </c>
      <c r="N129" s="18"/>
      <c r="O129" s="18" t="s">
        <v>84</v>
      </c>
      <c r="P129" s="18" t="s">
        <v>86</v>
      </c>
      <c r="Q129" s="18" t="s">
        <v>129</v>
      </c>
      <c r="R129" s="15">
        <f t="shared" si="3"/>
        <v>0</v>
      </c>
      <c r="S129" s="15">
        <v>303.0</v>
      </c>
      <c r="T129" s="15">
        <v>1.0</v>
      </c>
      <c r="U129" s="20">
        <f t="shared" si="4"/>
        <v>0.003300330033</v>
      </c>
      <c r="V129" s="15">
        <f t="shared" si="5"/>
        <v>70</v>
      </c>
      <c r="W129" s="15">
        <v>1.0</v>
      </c>
      <c r="X129" s="20">
        <f t="shared" si="6"/>
        <v>0.003300330033</v>
      </c>
      <c r="Y129" s="15">
        <f t="shared" ref="Y129:Z129" si="262">AE129-W129</f>
        <v>71</v>
      </c>
      <c r="Z129" s="20">
        <f t="shared" si="262"/>
        <v>0.2343234323</v>
      </c>
      <c r="AA129" s="15">
        <v>58.0</v>
      </c>
      <c r="AB129" s="20">
        <f t="shared" si="8"/>
        <v>0.1914191419</v>
      </c>
      <c r="AC129" s="15">
        <f t="shared" ref="AC129:AD129" si="263">AE129-AA129</f>
        <v>14</v>
      </c>
      <c r="AD129" s="20">
        <f t="shared" si="263"/>
        <v>0.04620462046</v>
      </c>
      <c r="AE129" s="15">
        <v>72.0</v>
      </c>
      <c r="AF129" s="20">
        <f t="shared" si="10"/>
        <v>0.2376237624</v>
      </c>
      <c r="AG129" s="15">
        <v>72.0</v>
      </c>
      <c r="AH129" s="20">
        <f t="shared" si="11"/>
        <v>0.2376237624</v>
      </c>
      <c r="AI129" s="15">
        <v>71.0</v>
      </c>
      <c r="AJ129" s="15">
        <v>1.0</v>
      </c>
      <c r="AK129" s="21">
        <v>0.0</v>
      </c>
      <c r="AL129" s="22">
        <v>0.237623762376238</v>
      </c>
      <c r="AM129" s="15">
        <v>231.0</v>
      </c>
      <c r="AN129" s="15">
        <v>231.0</v>
      </c>
      <c r="AO129" s="23" t="s">
        <v>64</v>
      </c>
      <c r="AP129" s="23" t="s">
        <v>64</v>
      </c>
      <c r="AQ129" s="13" t="s">
        <v>108</v>
      </c>
      <c r="AR129" s="24" t="s">
        <v>130</v>
      </c>
      <c r="AS129" s="24"/>
      <c r="AT129" s="25" t="s">
        <v>481</v>
      </c>
      <c r="AU129" s="26" t="s">
        <v>68</v>
      </c>
      <c r="AV129" s="27"/>
      <c r="AW129" s="24" t="s">
        <v>79</v>
      </c>
      <c r="AX129" s="28"/>
      <c r="AY129" s="29" t="s">
        <v>89</v>
      </c>
      <c r="AZ129" s="29"/>
      <c r="BA129" s="28"/>
      <c r="BB129" s="26" t="s">
        <v>90</v>
      </c>
      <c r="BC129" s="27"/>
      <c r="BD129" s="34" t="s">
        <v>91</v>
      </c>
      <c r="BE129" s="34"/>
      <c r="BF129" s="27"/>
      <c r="BG129" s="27"/>
      <c r="BH129" s="27"/>
    </row>
    <row r="130" ht="14.25" customHeight="1">
      <c r="A130" s="12" t="s">
        <v>482</v>
      </c>
      <c r="B130" s="12"/>
      <c r="C130" s="13"/>
      <c r="D130" s="14"/>
      <c r="E130" s="124"/>
      <c r="F130" s="15"/>
      <c r="G130" s="12"/>
      <c r="H130" s="16"/>
      <c r="I130" s="17">
        <v>0.2245</v>
      </c>
      <c r="J130" s="18"/>
      <c r="K130" s="18" t="s">
        <v>62</v>
      </c>
      <c r="L130" s="18" t="s">
        <v>62</v>
      </c>
      <c r="M130" s="18" t="s">
        <v>264</v>
      </c>
      <c r="N130" s="18"/>
      <c r="O130" s="18" t="s">
        <v>84</v>
      </c>
      <c r="P130" s="18" t="s">
        <v>86</v>
      </c>
      <c r="Q130" s="19" t="s">
        <v>60</v>
      </c>
      <c r="R130" s="15">
        <f t="shared" si="3"/>
        <v>0</v>
      </c>
      <c r="S130" s="15">
        <v>31.0</v>
      </c>
      <c r="T130" s="15">
        <v>0.0</v>
      </c>
      <c r="U130" s="20">
        <f t="shared" si="4"/>
        <v>0</v>
      </c>
      <c r="V130" s="15">
        <f t="shared" si="5"/>
        <v>31</v>
      </c>
      <c r="W130" s="15">
        <v>0.0</v>
      </c>
      <c r="X130" s="20">
        <f t="shared" si="6"/>
        <v>0</v>
      </c>
      <c r="Y130" s="15">
        <f t="shared" ref="Y130:Z130" si="264">AE130-W130</f>
        <v>31</v>
      </c>
      <c r="Z130" s="20">
        <f t="shared" si="264"/>
        <v>1</v>
      </c>
      <c r="AA130" s="15">
        <v>31.0</v>
      </c>
      <c r="AB130" s="20">
        <f t="shared" si="8"/>
        <v>1</v>
      </c>
      <c r="AC130" s="15">
        <f t="shared" ref="AC130:AD130" si="265">AE130-AA130</f>
        <v>0</v>
      </c>
      <c r="AD130" s="20">
        <f t="shared" si="265"/>
        <v>0</v>
      </c>
      <c r="AE130" s="15">
        <v>31.0</v>
      </c>
      <c r="AF130" s="20">
        <f t="shared" si="10"/>
        <v>1</v>
      </c>
      <c r="AG130" s="15">
        <v>31.0</v>
      </c>
      <c r="AH130" s="20">
        <f t="shared" si="11"/>
        <v>1</v>
      </c>
      <c r="AI130" s="15">
        <v>31.0</v>
      </c>
      <c r="AJ130" s="15">
        <v>0.0</v>
      </c>
      <c r="AK130" s="21">
        <v>0.0</v>
      </c>
      <c r="AL130" s="22">
        <v>1.0</v>
      </c>
      <c r="AM130" s="15">
        <v>0.0</v>
      </c>
      <c r="AN130" s="15">
        <v>0.0</v>
      </c>
      <c r="AO130" s="23" t="s">
        <v>64</v>
      </c>
      <c r="AP130" s="23" t="s">
        <v>64</v>
      </c>
      <c r="AQ130" s="13" t="s">
        <v>93</v>
      </c>
      <c r="AR130" s="24" t="s">
        <v>66</v>
      </c>
      <c r="AS130" s="24"/>
      <c r="AT130" s="25" t="s">
        <v>483</v>
      </c>
      <c r="AU130" s="26" t="s">
        <v>68</v>
      </c>
      <c r="AV130" s="27"/>
      <c r="AW130" s="24" t="s">
        <v>79</v>
      </c>
      <c r="AX130" s="27"/>
      <c r="AY130" s="29" t="s">
        <v>412</v>
      </c>
      <c r="AZ130" s="30"/>
      <c r="BA130" s="25" t="s">
        <v>484</v>
      </c>
      <c r="BB130" s="26" t="s">
        <v>485</v>
      </c>
      <c r="BC130" s="27"/>
      <c r="BD130" s="24"/>
      <c r="BE130" s="56">
        <v>46149.0</v>
      </c>
      <c r="BF130" s="27"/>
      <c r="BG130" s="27"/>
      <c r="BH130" s="27"/>
    </row>
    <row r="131" ht="14.25" customHeight="1">
      <c r="A131" s="12" t="s">
        <v>486</v>
      </c>
      <c r="B131" s="12"/>
      <c r="C131" s="13"/>
      <c r="D131" s="14"/>
      <c r="E131" s="15"/>
      <c r="F131" s="15"/>
      <c r="G131" s="12"/>
      <c r="H131" s="16"/>
      <c r="I131" s="17">
        <v>0.0377</v>
      </c>
      <c r="J131" s="18"/>
      <c r="K131" s="18" t="s">
        <v>84</v>
      </c>
      <c r="L131" s="18" t="s">
        <v>62</v>
      </c>
      <c r="M131" s="18" t="s">
        <v>264</v>
      </c>
      <c r="N131" s="18"/>
      <c r="O131" s="18" t="s">
        <v>84</v>
      </c>
      <c r="P131" s="19" t="s">
        <v>84</v>
      </c>
      <c r="Q131" s="19" t="s">
        <v>86</v>
      </c>
      <c r="R131" s="15">
        <f t="shared" si="3"/>
        <v>0</v>
      </c>
      <c r="S131" s="15">
        <v>36.0</v>
      </c>
      <c r="T131" s="15">
        <v>0.0</v>
      </c>
      <c r="U131" s="20">
        <f t="shared" si="4"/>
        <v>0</v>
      </c>
      <c r="V131" s="15">
        <f t="shared" si="5"/>
        <v>18</v>
      </c>
      <c r="W131" s="15">
        <v>0.0</v>
      </c>
      <c r="X131" s="20">
        <f t="shared" si="6"/>
        <v>0</v>
      </c>
      <c r="Y131" s="15">
        <f t="shared" ref="Y131:Z131" si="266">AE131-W131</f>
        <v>18</v>
      </c>
      <c r="Z131" s="20">
        <f t="shared" si="266"/>
        <v>0.5</v>
      </c>
      <c r="AA131" s="15">
        <v>0.0</v>
      </c>
      <c r="AB131" s="20">
        <f t="shared" si="8"/>
        <v>0</v>
      </c>
      <c r="AC131" s="15">
        <f t="shared" ref="AC131:AD131" si="267">AE131-AA131</f>
        <v>18</v>
      </c>
      <c r="AD131" s="20">
        <f t="shared" si="267"/>
        <v>0.5</v>
      </c>
      <c r="AE131" s="15">
        <v>18.0</v>
      </c>
      <c r="AF131" s="20">
        <f t="shared" si="10"/>
        <v>0.5</v>
      </c>
      <c r="AG131" s="15">
        <v>18.0</v>
      </c>
      <c r="AH131" s="20">
        <f t="shared" si="11"/>
        <v>0.5</v>
      </c>
      <c r="AI131" s="15">
        <v>18.0</v>
      </c>
      <c r="AJ131" s="15">
        <v>0.0</v>
      </c>
      <c r="AK131" s="21">
        <v>0.0</v>
      </c>
      <c r="AL131" s="22">
        <v>0.5</v>
      </c>
      <c r="AM131" s="15">
        <v>18.0</v>
      </c>
      <c r="AN131" s="15">
        <v>18.0</v>
      </c>
      <c r="AO131" s="23" t="s">
        <v>63</v>
      </c>
      <c r="AP131" s="23" t="s">
        <v>64</v>
      </c>
      <c r="AQ131" s="13" t="s">
        <v>108</v>
      </c>
      <c r="AR131" s="24" t="s">
        <v>66</v>
      </c>
      <c r="AS131" s="24"/>
      <c r="AT131" s="25" t="s">
        <v>487</v>
      </c>
      <c r="AU131" s="26" t="s">
        <v>68</v>
      </c>
      <c r="AV131" s="27"/>
      <c r="AW131" s="24" t="s">
        <v>79</v>
      </c>
      <c r="AX131" s="28"/>
      <c r="AY131" s="29" t="s">
        <v>89</v>
      </c>
      <c r="AZ131" s="29"/>
      <c r="BA131" s="28"/>
      <c r="BB131" s="26" t="s">
        <v>90</v>
      </c>
      <c r="BC131" s="27"/>
      <c r="BD131" s="34" t="s">
        <v>91</v>
      </c>
      <c r="BE131" s="34"/>
      <c r="BF131" s="27"/>
      <c r="BG131" s="27"/>
      <c r="BH131" s="27"/>
    </row>
    <row r="132" ht="14.25" customHeight="1">
      <c r="A132" s="73" t="s">
        <v>488</v>
      </c>
      <c r="B132" s="73"/>
      <c r="C132" s="85"/>
      <c r="D132" s="75"/>
      <c r="E132" s="76"/>
      <c r="F132" s="80"/>
      <c r="G132" s="118"/>
      <c r="H132" s="79"/>
      <c r="I132" s="78">
        <v>0.1596</v>
      </c>
      <c r="J132" s="79"/>
      <c r="K132" s="79" t="s">
        <v>62</v>
      </c>
      <c r="L132" s="79" t="s">
        <v>62</v>
      </c>
      <c r="M132" s="79" t="s">
        <v>62</v>
      </c>
      <c r="N132" s="79" t="s">
        <v>62</v>
      </c>
      <c r="O132" s="79" t="s">
        <v>489</v>
      </c>
      <c r="P132" s="79" t="s">
        <v>60</v>
      </c>
      <c r="Q132" s="80" t="s">
        <v>60</v>
      </c>
      <c r="R132" s="76">
        <f t="shared" si="3"/>
        <v>0</v>
      </c>
      <c r="S132" s="76">
        <v>58.0</v>
      </c>
      <c r="T132" s="76">
        <v>13.0</v>
      </c>
      <c r="U132" s="20">
        <f t="shared" si="4"/>
        <v>0.224137931</v>
      </c>
      <c r="V132" s="15">
        <f t="shared" si="5"/>
        <v>16</v>
      </c>
      <c r="W132" s="76">
        <v>3.0</v>
      </c>
      <c r="X132" s="81">
        <f t="shared" si="6"/>
        <v>0.05172413793</v>
      </c>
      <c r="Y132" s="76">
        <f t="shared" ref="Y132:Z132" si="268">AE132-W132</f>
        <v>23</v>
      </c>
      <c r="Z132" s="81">
        <f t="shared" si="268"/>
        <v>0.3965517241</v>
      </c>
      <c r="AA132" s="76">
        <v>26.0</v>
      </c>
      <c r="AB132" s="81">
        <f t="shared" si="8"/>
        <v>0.4482758621</v>
      </c>
      <c r="AC132" s="76">
        <f t="shared" ref="AC132:AD132" si="269">AE132-AA132</f>
        <v>0</v>
      </c>
      <c r="AD132" s="81">
        <f t="shared" si="269"/>
        <v>0</v>
      </c>
      <c r="AE132" s="76">
        <v>26.0</v>
      </c>
      <c r="AF132" s="81">
        <f t="shared" si="10"/>
        <v>0.4482758621</v>
      </c>
      <c r="AG132" s="76">
        <v>26.0</v>
      </c>
      <c r="AH132" s="81">
        <f t="shared" si="11"/>
        <v>0.4482758621</v>
      </c>
      <c r="AI132" s="76">
        <v>29.0</v>
      </c>
      <c r="AJ132" s="76">
        <v>0.0</v>
      </c>
      <c r="AK132" s="82">
        <v>0.0</v>
      </c>
      <c r="AL132" s="83">
        <v>0.5</v>
      </c>
      <c r="AM132" s="76">
        <v>10.0</v>
      </c>
      <c r="AN132" s="76">
        <v>19.0</v>
      </c>
      <c r="AO132" s="84" t="s">
        <v>64</v>
      </c>
      <c r="AP132" s="84" t="s">
        <v>64</v>
      </c>
      <c r="AQ132" s="85" t="s">
        <v>108</v>
      </c>
      <c r="AR132" s="86" t="s">
        <v>130</v>
      </c>
      <c r="AS132" s="86"/>
      <c r="AT132" s="87" t="s">
        <v>490</v>
      </c>
      <c r="AU132" s="88" t="s">
        <v>68</v>
      </c>
      <c r="AV132" s="93"/>
      <c r="AW132" s="86" t="s">
        <v>79</v>
      </c>
      <c r="AX132" s="90"/>
      <c r="AY132" s="91" t="s">
        <v>371</v>
      </c>
      <c r="AZ132" s="30"/>
      <c r="BA132" s="92" t="s">
        <v>491</v>
      </c>
      <c r="BB132" s="88" t="s">
        <v>90</v>
      </c>
      <c r="BC132" s="93"/>
      <c r="BD132" s="94" t="s">
        <v>91</v>
      </c>
      <c r="BE132" s="94"/>
      <c r="BF132" s="93"/>
      <c r="BG132" s="93"/>
      <c r="BH132" s="93"/>
    </row>
    <row r="133" ht="14.25" customHeight="1">
      <c r="A133" s="43" t="s">
        <v>492</v>
      </c>
      <c r="B133" s="43"/>
      <c r="C133" s="44"/>
      <c r="D133" s="45"/>
      <c r="E133" s="46"/>
      <c r="F133" s="46"/>
      <c r="G133" s="43"/>
      <c r="H133" s="47"/>
      <c r="I133" s="17">
        <v>0.4158</v>
      </c>
      <c r="J133" s="18"/>
      <c r="K133" s="18" t="s">
        <v>248</v>
      </c>
      <c r="L133" s="18" t="s">
        <v>76</v>
      </c>
      <c r="M133" s="18" t="s">
        <v>62</v>
      </c>
      <c r="N133" s="18"/>
      <c r="O133" s="18" t="s">
        <v>60</v>
      </c>
      <c r="P133" s="18" t="s">
        <v>60</v>
      </c>
      <c r="Q133" s="19" t="s">
        <v>60</v>
      </c>
      <c r="R133" s="46">
        <f t="shared" si="3"/>
        <v>0</v>
      </c>
      <c r="S133" s="46">
        <v>67.0</v>
      </c>
      <c r="T133" s="15">
        <v>24.0</v>
      </c>
      <c r="U133" s="20">
        <f t="shared" si="4"/>
        <v>0.3582089552</v>
      </c>
      <c r="V133" s="15">
        <f t="shared" si="5"/>
        <v>0</v>
      </c>
      <c r="W133" s="15">
        <v>24.0</v>
      </c>
      <c r="X133" s="20">
        <f t="shared" si="6"/>
        <v>0.3582089552</v>
      </c>
      <c r="Y133" s="15">
        <f t="shared" ref="Y133:Z133" si="270">AE133-W133</f>
        <v>0</v>
      </c>
      <c r="Z133" s="20">
        <f t="shared" si="270"/>
        <v>0</v>
      </c>
      <c r="AA133" s="15">
        <v>24.0</v>
      </c>
      <c r="AB133" s="20">
        <f t="shared" si="8"/>
        <v>0.3582089552</v>
      </c>
      <c r="AC133" s="15">
        <f t="shared" ref="AC133:AD133" si="271">AE133-AA133</f>
        <v>0</v>
      </c>
      <c r="AD133" s="20">
        <f t="shared" si="271"/>
        <v>0</v>
      </c>
      <c r="AE133" s="46">
        <v>24.0</v>
      </c>
      <c r="AF133" s="48">
        <f t="shared" si="10"/>
        <v>0.3582089552</v>
      </c>
      <c r="AG133" s="46">
        <v>24.0</v>
      </c>
      <c r="AH133" s="48">
        <f t="shared" si="11"/>
        <v>0.3582089552</v>
      </c>
      <c r="AI133" s="46">
        <v>24.0</v>
      </c>
      <c r="AJ133" s="46">
        <v>0.0</v>
      </c>
      <c r="AK133" s="49">
        <v>0.0</v>
      </c>
      <c r="AL133" s="50">
        <v>0.358208955223881</v>
      </c>
      <c r="AM133" s="46">
        <v>0.0</v>
      </c>
      <c r="AN133" s="46">
        <v>43.0</v>
      </c>
      <c r="AO133" s="51" t="s">
        <v>63</v>
      </c>
      <c r="AP133" s="51" t="s">
        <v>64</v>
      </c>
      <c r="AQ133" s="44" t="s">
        <v>65</v>
      </c>
      <c r="AR133" s="34" t="s">
        <v>130</v>
      </c>
      <c r="AS133" s="34"/>
      <c r="AT133" s="125" t="s">
        <v>493</v>
      </c>
      <c r="AU133" s="53" t="s">
        <v>68</v>
      </c>
      <c r="AV133" s="54"/>
      <c r="AW133" s="34" t="s">
        <v>54</v>
      </c>
      <c r="AX133" s="52" t="s">
        <v>494</v>
      </c>
      <c r="AY133" s="29" t="s">
        <v>70</v>
      </c>
      <c r="AZ133" s="32"/>
      <c r="BA133" s="122"/>
      <c r="BB133" s="26" t="s">
        <v>495</v>
      </c>
      <c r="BC133" s="54"/>
      <c r="BD133" s="24"/>
      <c r="BE133" s="54"/>
      <c r="BF133" s="54"/>
      <c r="BG133" s="54"/>
      <c r="BH133" s="54"/>
    </row>
    <row r="134" ht="14.25" customHeight="1">
      <c r="A134" s="12" t="s">
        <v>496</v>
      </c>
      <c r="B134" s="12"/>
      <c r="C134" s="13"/>
      <c r="D134" s="14"/>
      <c r="E134" s="15"/>
      <c r="F134" s="15"/>
      <c r="G134" s="12"/>
      <c r="H134" s="16"/>
      <c r="I134" s="17">
        <v>0.1852</v>
      </c>
      <c r="J134" s="18"/>
      <c r="K134" s="18"/>
      <c r="L134" s="18" t="s">
        <v>497</v>
      </c>
      <c r="M134" s="18" t="s">
        <v>264</v>
      </c>
      <c r="N134" s="18"/>
      <c r="O134" s="18" t="s">
        <v>84</v>
      </c>
      <c r="P134" s="18" t="s">
        <v>84</v>
      </c>
      <c r="Q134" s="18" t="s">
        <v>84</v>
      </c>
      <c r="R134" s="15">
        <f t="shared" si="3"/>
        <v>0</v>
      </c>
      <c r="S134" s="15">
        <v>21.0</v>
      </c>
      <c r="T134" s="15">
        <v>0.0</v>
      </c>
      <c r="U134" s="20">
        <f t="shared" si="4"/>
        <v>0</v>
      </c>
      <c r="V134" s="15">
        <f t="shared" si="5"/>
        <v>21</v>
      </c>
      <c r="W134" s="15">
        <v>0.0</v>
      </c>
      <c r="X134" s="20">
        <f t="shared" si="6"/>
        <v>0</v>
      </c>
      <c r="Y134" s="15">
        <f t="shared" ref="Y134:Z134" si="272">AE134-W134</f>
        <v>21</v>
      </c>
      <c r="Z134" s="20">
        <f t="shared" si="272"/>
        <v>1</v>
      </c>
      <c r="AA134" s="15">
        <v>0.0</v>
      </c>
      <c r="AB134" s="20">
        <f t="shared" si="8"/>
        <v>0</v>
      </c>
      <c r="AC134" s="15">
        <f t="shared" ref="AC134:AD134" si="273">AE134-AA134</f>
        <v>21</v>
      </c>
      <c r="AD134" s="20">
        <f t="shared" si="273"/>
        <v>1</v>
      </c>
      <c r="AE134" s="15">
        <v>21.0</v>
      </c>
      <c r="AF134" s="20">
        <f t="shared" si="10"/>
        <v>1</v>
      </c>
      <c r="AG134" s="15">
        <v>21.0</v>
      </c>
      <c r="AH134" s="20">
        <f t="shared" si="11"/>
        <v>1</v>
      </c>
      <c r="AI134" s="15">
        <v>21.0</v>
      </c>
      <c r="AJ134" s="15">
        <v>0.0</v>
      </c>
      <c r="AK134" s="21">
        <v>0.0</v>
      </c>
      <c r="AL134" s="22">
        <v>1.0</v>
      </c>
      <c r="AM134" s="15">
        <v>0.0</v>
      </c>
      <c r="AN134" s="15">
        <v>0.0</v>
      </c>
      <c r="AO134" s="23" t="s">
        <v>63</v>
      </c>
      <c r="AP134" s="23" t="s">
        <v>64</v>
      </c>
      <c r="AQ134" s="13" t="s">
        <v>104</v>
      </c>
      <c r="AR134" s="24" t="s">
        <v>66</v>
      </c>
      <c r="AS134" s="24"/>
      <c r="AT134" s="25" t="s">
        <v>498</v>
      </c>
      <c r="AU134" s="26" t="s">
        <v>68</v>
      </c>
      <c r="AV134" s="27"/>
      <c r="AW134" s="24" t="s">
        <v>69</v>
      </c>
      <c r="AX134" s="28"/>
      <c r="AY134" s="29" t="s">
        <v>499</v>
      </c>
      <c r="AZ134" s="30"/>
      <c r="BA134" s="25" t="s">
        <v>500</v>
      </c>
      <c r="BB134" s="26"/>
      <c r="BC134" s="27"/>
      <c r="BD134" s="34" t="s">
        <v>91</v>
      </c>
      <c r="BE134" s="34"/>
      <c r="BF134" s="27"/>
      <c r="BG134" s="27"/>
      <c r="BH134" s="27"/>
    </row>
    <row r="135" ht="14.25" customHeight="1">
      <c r="A135" s="12" t="s">
        <v>501</v>
      </c>
      <c r="B135" s="12"/>
      <c r="C135" s="13"/>
      <c r="D135" s="14"/>
      <c r="E135" s="15"/>
      <c r="F135" s="15"/>
      <c r="G135" s="12"/>
      <c r="H135" s="16"/>
      <c r="I135" s="17">
        <v>0.2403</v>
      </c>
      <c r="J135" s="18"/>
      <c r="K135" s="18" t="s">
        <v>98</v>
      </c>
      <c r="L135" s="18" t="s">
        <v>61</v>
      </c>
      <c r="M135" s="18" t="s">
        <v>60</v>
      </c>
      <c r="N135" s="18"/>
      <c r="O135" s="18" t="s">
        <v>60</v>
      </c>
      <c r="P135" s="18" t="s">
        <v>60</v>
      </c>
      <c r="Q135" s="19" t="s">
        <v>60</v>
      </c>
      <c r="R135" s="15">
        <f t="shared" si="3"/>
        <v>0</v>
      </c>
      <c r="S135" s="15">
        <v>262.0</v>
      </c>
      <c r="T135" s="15">
        <v>31.0</v>
      </c>
      <c r="U135" s="20">
        <f t="shared" si="4"/>
        <v>0.1183206107</v>
      </c>
      <c r="V135" s="15">
        <f t="shared" si="5"/>
        <v>95</v>
      </c>
      <c r="W135" s="15">
        <v>31.0</v>
      </c>
      <c r="X135" s="20">
        <f t="shared" si="6"/>
        <v>0.1183206107</v>
      </c>
      <c r="Y135" s="15">
        <f t="shared" ref="Y135:Z135" si="274">AE135-W135</f>
        <v>0</v>
      </c>
      <c r="Z135" s="20">
        <f t="shared" si="274"/>
        <v>0</v>
      </c>
      <c r="AA135" s="15">
        <v>31.0</v>
      </c>
      <c r="AB135" s="20">
        <f t="shared" si="8"/>
        <v>0.1183206107</v>
      </c>
      <c r="AC135" s="15">
        <f t="shared" ref="AC135:AD135" si="275">AE135-AA135</f>
        <v>0</v>
      </c>
      <c r="AD135" s="20">
        <f t="shared" si="275"/>
        <v>0</v>
      </c>
      <c r="AE135" s="15">
        <v>31.0</v>
      </c>
      <c r="AF135" s="20">
        <f t="shared" si="10"/>
        <v>0.1183206107</v>
      </c>
      <c r="AG135" s="15">
        <v>31.0</v>
      </c>
      <c r="AH135" s="20">
        <f t="shared" si="11"/>
        <v>0.1183206107</v>
      </c>
      <c r="AI135" s="15">
        <v>126.0</v>
      </c>
      <c r="AJ135" s="15">
        <v>0.0</v>
      </c>
      <c r="AK135" s="21">
        <v>0.0</v>
      </c>
      <c r="AL135" s="22">
        <v>0.480916030534351</v>
      </c>
      <c r="AM135" s="15">
        <v>135.0</v>
      </c>
      <c r="AN135" s="15">
        <v>136.0</v>
      </c>
      <c r="AO135" s="23" t="s">
        <v>64</v>
      </c>
      <c r="AP135" s="23" t="s">
        <v>64</v>
      </c>
      <c r="AQ135" s="13" t="s">
        <v>65</v>
      </c>
      <c r="AR135" s="24" t="s">
        <v>66</v>
      </c>
      <c r="AS135" s="24"/>
      <c r="AT135" s="25" t="s">
        <v>502</v>
      </c>
      <c r="AU135" s="26" t="s">
        <v>68</v>
      </c>
      <c r="AV135" s="27"/>
      <c r="AW135" s="24" t="s">
        <v>79</v>
      </c>
      <c r="AX135" s="28"/>
      <c r="AY135" s="29" t="s">
        <v>70</v>
      </c>
      <c r="AZ135" s="32"/>
      <c r="BA135" s="25" t="s">
        <v>503</v>
      </c>
      <c r="BB135" s="26" t="s">
        <v>168</v>
      </c>
      <c r="BC135" s="27"/>
      <c r="BD135" s="24"/>
      <c r="BE135" s="27"/>
      <c r="BF135" s="27"/>
      <c r="BG135" s="27"/>
      <c r="BH135" s="27"/>
    </row>
    <row r="136" ht="14.25" customHeight="1">
      <c r="A136" s="12" t="s">
        <v>504</v>
      </c>
      <c r="B136" s="12"/>
      <c r="C136" s="13"/>
      <c r="D136" s="14"/>
      <c r="E136" s="15"/>
      <c r="F136" s="15"/>
      <c r="G136" s="12"/>
      <c r="H136" s="16"/>
      <c r="I136" s="17">
        <v>0.0029</v>
      </c>
      <c r="J136" s="18"/>
      <c r="K136" s="18"/>
      <c r="L136" s="18" t="s">
        <v>129</v>
      </c>
      <c r="M136" s="18" t="s">
        <v>103</v>
      </c>
      <c r="N136" s="18" t="s">
        <v>129</v>
      </c>
      <c r="O136" s="18" t="s">
        <v>86</v>
      </c>
      <c r="P136" s="18" t="s">
        <v>162</v>
      </c>
      <c r="Q136" s="18" t="s">
        <v>162</v>
      </c>
      <c r="R136" s="15">
        <f t="shared" si="3"/>
        <v>0</v>
      </c>
      <c r="S136" s="15">
        <v>320.0</v>
      </c>
      <c r="T136" s="15">
        <v>1.0</v>
      </c>
      <c r="U136" s="20">
        <f t="shared" si="4"/>
        <v>0.003125</v>
      </c>
      <c r="V136" s="15">
        <f t="shared" si="5"/>
        <v>47</v>
      </c>
      <c r="W136" s="15">
        <v>6.0</v>
      </c>
      <c r="X136" s="20">
        <f t="shared" si="6"/>
        <v>0.01875</v>
      </c>
      <c r="Y136" s="15">
        <f t="shared" ref="Y136:Z136" si="276">AE136-W136</f>
        <v>28</v>
      </c>
      <c r="Z136" s="20">
        <f t="shared" si="276"/>
        <v>0.0875</v>
      </c>
      <c r="AA136" s="15">
        <v>14.0</v>
      </c>
      <c r="AB136" s="20">
        <f t="shared" si="8"/>
        <v>0.04375</v>
      </c>
      <c r="AC136" s="15">
        <f t="shared" ref="AC136:AD136" si="277">AE136-AA136</f>
        <v>20</v>
      </c>
      <c r="AD136" s="20">
        <f t="shared" si="277"/>
        <v>0.0625</v>
      </c>
      <c r="AE136" s="15">
        <v>34.0</v>
      </c>
      <c r="AF136" s="20">
        <f t="shared" si="10"/>
        <v>0.10625</v>
      </c>
      <c r="AG136" s="15">
        <v>34.0</v>
      </c>
      <c r="AH136" s="20">
        <f t="shared" si="11"/>
        <v>0.10625</v>
      </c>
      <c r="AI136" s="15">
        <v>48.0</v>
      </c>
      <c r="AJ136" s="15">
        <v>0.0</v>
      </c>
      <c r="AK136" s="21">
        <v>0.0</v>
      </c>
      <c r="AL136" s="22">
        <v>0.15</v>
      </c>
      <c r="AM136" s="15">
        <v>272.0</v>
      </c>
      <c r="AN136" s="15">
        <v>249.0</v>
      </c>
      <c r="AO136" s="23" t="s">
        <v>64</v>
      </c>
      <c r="AP136" s="23" t="s">
        <v>64</v>
      </c>
      <c r="AQ136" s="13" t="s">
        <v>108</v>
      </c>
      <c r="AR136" s="24" t="s">
        <v>66</v>
      </c>
      <c r="AS136" s="24"/>
      <c r="AT136" s="25" t="s">
        <v>505</v>
      </c>
      <c r="AU136" s="26" t="s">
        <v>68</v>
      </c>
      <c r="AV136" s="27"/>
      <c r="AW136" s="24" t="s">
        <v>69</v>
      </c>
      <c r="AX136" s="28"/>
      <c r="AY136" s="29" t="s">
        <v>134</v>
      </c>
      <c r="AZ136" s="29"/>
      <c r="BA136" s="28"/>
      <c r="BB136" s="26" t="s">
        <v>90</v>
      </c>
      <c r="BC136" s="27"/>
      <c r="BD136" s="34" t="s">
        <v>91</v>
      </c>
      <c r="BE136" s="34"/>
      <c r="BF136" s="27"/>
      <c r="BG136" s="27"/>
      <c r="BH136" s="27"/>
    </row>
    <row r="137" ht="14.25" customHeight="1">
      <c r="A137" s="12" t="s">
        <v>506</v>
      </c>
      <c r="B137" s="12"/>
      <c r="C137" s="13"/>
      <c r="D137" s="14"/>
      <c r="E137" s="15"/>
      <c r="F137" s="15"/>
      <c r="G137" s="12"/>
      <c r="H137" s="16"/>
      <c r="I137" s="17">
        <v>1.0</v>
      </c>
      <c r="J137" s="18"/>
      <c r="K137" s="18"/>
      <c r="L137" s="18" t="s">
        <v>270</v>
      </c>
      <c r="M137" s="18" t="s">
        <v>507</v>
      </c>
      <c r="N137" s="18"/>
      <c r="O137" s="18" t="s">
        <v>60</v>
      </c>
      <c r="P137" s="18" t="s">
        <v>60</v>
      </c>
      <c r="Q137" s="19" t="s">
        <v>60</v>
      </c>
      <c r="R137" s="15">
        <f t="shared" si="3"/>
        <v>0</v>
      </c>
      <c r="S137" s="15">
        <v>15.0</v>
      </c>
      <c r="T137" s="15">
        <v>15.0</v>
      </c>
      <c r="U137" s="20">
        <f t="shared" si="4"/>
        <v>1</v>
      </c>
      <c r="V137" s="15">
        <f t="shared" si="5"/>
        <v>0</v>
      </c>
      <c r="W137" s="15">
        <v>15.0</v>
      </c>
      <c r="X137" s="20">
        <f t="shared" si="6"/>
        <v>1</v>
      </c>
      <c r="Y137" s="15">
        <f t="shared" ref="Y137:Z137" si="278">AE137-W137</f>
        <v>0</v>
      </c>
      <c r="Z137" s="20">
        <f t="shared" si="278"/>
        <v>0</v>
      </c>
      <c r="AA137" s="15">
        <v>15.0</v>
      </c>
      <c r="AB137" s="20">
        <f t="shared" si="8"/>
        <v>1</v>
      </c>
      <c r="AC137" s="15">
        <f t="shared" ref="AC137:AD137" si="279">AE137-AA137</f>
        <v>0</v>
      </c>
      <c r="AD137" s="20">
        <f t="shared" si="279"/>
        <v>0</v>
      </c>
      <c r="AE137" s="15">
        <v>15.0</v>
      </c>
      <c r="AF137" s="20">
        <f t="shared" si="10"/>
        <v>1</v>
      </c>
      <c r="AG137" s="15">
        <v>15.0</v>
      </c>
      <c r="AH137" s="20">
        <f t="shared" si="11"/>
        <v>1</v>
      </c>
      <c r="AI137" s="15">
        <v>15.0</v>
      </c>
      <c r="AJ137" s="15">
        <v>0.0</v>
      </c>
      <c r="AK137" s="21">
        <v>0.0</v>
      </c>
      <c r="AL137" s="22">
        <v>1.0</v>
      </c>
      <c r="AM137" s="15">
        <v>0.0</v>
      </c>
      <c r="AN137" s="15">
        <v>0.0</v>
      </c>
      <c r="AO137" s="23" t="s">
        <v>63</v>
      </c>
      <c r="AP137" s="23" t="s">
        <v>64</v>
      </c>
      <c r="AQ137" s="13" t="s">
        <v>108</v>
      </c>
      <c r="AR137" s="24" t="s">
        <v>66</v>
      </c>
      <c r="AS137" s="24"/>
      <c r="AT137" s="25" t="s">
        <v>508</v>
      </c>
      <c r="AU137" s="26" t="s">
        <v>88</v>
      </c>
      <c r="AV137" s="36"/>
      <c r="AW137" s="24" t="s">
        <v>100</v>
      </c>
      <c r="AX137" s="28"/>
      <c r="AY137" s="29" t="s">
        <v>173</v>
      </c>
      <c r="AZ137" s="29"/>
      <c r="BA137" s="28"/>
      <c r="BB137" s="26" t="s">
        <v>90</v>
      </c>
      <c r="BC137" s="27"/>
      <c r="BD137" s="24" t="s">
        <v>91</v>
      </c>
      <c r="BE137" s="24"/>
      <c r="BF137" s="27"/>
      <c r="BG137" s="27"/>
      <c r="BH137" s="27"/>
    </row>
    <row r="138" ht="14.25" customHeight="1">
      <c r="A138" s="12" t="s">
        <v>509</v>
      </c>
      <c r="B138" s="12"/>
      <c r="C138" s="13"/>
      <c r="D138" s="14"/>
      <c r="E138" s="15"/>
      <c r="F138" s="15"/>
      <c r="G138" s="12"/>
      <c r="H138" s="16"/>
      <c r="I138" s="17">
        <v>0.0</v>
      </c>
      <c r="J138" s="18"/>
      <c r="K138" s="18"/>
      <c r="L138" s="18" t="s">
        <v>84</v>
      </c>
      <c r="M138" s="18" t="s">
        <v>84</v>
      </c>
      <c r="N138" s="18"/>
      <c r="O138" s="18" t="s">
        <v>84</v>
      </c>
      <c r="P138" s="18" t="s">
        <v>84</v>
      </c>
      <c r="Q138" s="18" t="s">
        <v>84</v>
      </c>
      <c r="R138" s="15">
        <f t="shared" si="3"/>
        <v>0</v>
      </c>
      <c r="S138" s="15">
        <v>57.0</v>
      </c>
      <c r="T138" s="15">
        <v>0.0</v>
      </c>
      <c r="U138" s="20">
        <f t="shared" si="4"/>
        <v>0</v>
      </c>
      <c r="V138" s="15">
        <f t="shared" si="5"/>
        <v>16</v>
      </c>
      <c r="W138" s="15">
        <v>0.0</v>
      </c>
      <c r="X138" s="20">
        <f t="shared" si="6"/>
        <v>0</v>
      </c>
      <c r="Y138" s="15">
        <f t="shared" ref="Y138:Z138" si="280">AE138-W138</f>
        <v>16</v>
      </c>
      <c r="Z138" s="20">
        <f t="shared" si="280"/>
        <v>0.2807017544</v>
      </c>
      <c r="AA138" s="15">
        <v>0.0</v>
      </c>
      <c r="AB138" s="20">
        <f t="shared" si="8"/>
        <v>0</v>
      </c>
      <c r="AC138" s="15">
        <f t="shared" ref="AC138:AD138" si="281">AE138-AA138</f>
        <v>16</v>
      </c>
      <c r="AD138" s="20">
        <f t="shared" si="281"/>
        <v>0.2807017544</v>
      </c>
      <c r="AE138" s="15">
        <v>16.0</v>
      </c>
      <c r="AF138" s="20">
        <f t="shared" si="10"/>
        <v>0.2807017544</v>
      </c>
      <c r="AG138" s="15">
        <v>16.0</v>
      </c>
      <c r="AH138" s="20">
        <f t="shared" si="11"/>
        <v>0.2807017544</v>
      </c>
      <c r="AI138" s="15">
        <v>16.0</v>
      </c>
      <c r="AJ138" s="15">
        <v>0.0</v>
      </c>
      <c r="AK138" s="21">
        <v>0.0</v>
      </c>
      <c r="AL138" s="22">
        <v>0.280701754385965</v>
      </c>
      <c r="AM138" s="15">
        <v>41.0</v>
      </c>
      <c r="AN138" s="15">
        <v>41.0</v>
      </c>
      <c r="AO138" s="23" t="s">
        <v>63</v>
      </c>
      <c r="AP138" s="23" t="s">
        <v>64</v>
      </c>
      <c r="AQ138" s="13" t="s">
        <v>104</v>
      </c>
      <c r="AR138" s="24" t="s">
        <v>66</v>
      </c>
      <c r="AS138" s="24"/>
      <c r="AT138" s="25" t="s">
        <v>510</v>
      </c>
      <c r="AU138" s="26" t="s">
        <v>106</v>
      </c>
      <c r="AV138" s="27"/>
      <c r="AW138" s="27"/>
      <c r="AX138" s="28"/>
      <c r="AY138" s="29" t="s">
        <v>89</v>
      </c>
      <c r="AZ138" s="29"/>
      <c r="BA138" s="28"/>
      <c r="BB138" s="26" t="s">
        <v>90</v>
      </c>
      <c r="BC138" s="27"/>
      <c r="BD138" s="34" t="s">
        <v>91</v>
      </c>
      <c r="BE138" s="34"/>
      <c r="BF138" s="27"/>
      <c r="BG138" s="27"/>
      <c r="BH138" s="27"/>
    </row>
    <row r="139" ht="14.25" customHeight="1">
      <c r="A139" s="12" t="s">
        <v>511</v>
      </c>
      <c r="B139" s="12"/>
      <c r="C139" s="13"/>
      <c r="D139" s="14"/>
      <c r="E139" s="15"/>
      <c r="F139" s="15"/>
      <c r="G139" s="12"/>
      <c r="H139" s="16"/>
      <c r="I139" s="17">
        <v>0.0882</v>
      </c>
      <c r="J139" s="18"/>
      <c r="K139" s="18"/>
      <c r="L139" s="18" t="s">
        <v>84</v>
      </c>
      <c r="M139" s="18" t="s">
        <v>512</v>
      </c>
      <c r="N139" s="18"/>
      <c r="O139" s="18" t="s">
        <v>84</v>
      </c>
      <c r="P139" s="18" t="s">
        <v>86</v>
      </c>
      <c r="Q139" s="19" t="s">
        <v>129</v>
      </c>
      <c r="R139" s="15">
        <f t="shared" si="3"/>
        <v>0</v>
      </c>
      <c r="S139" s="15">
        <v>26.0</v>
      </c>
      <c r="T139" s="15">
        <v>0.0</v>
      </c>
      <c r="U139" s="20">
        <f t="shared" si="4"/>
        <v>0</v>
      </c>
      <c r="V139" s="15">
        <f t="shared" si="5"/>
        <v>24</v>
      </c>
      <c r="W139" s="15">
        <v>0.0</v>
      </c>
      <c r="X139" s="20">
        <f t="shared" si="6"/>
        <v>0</v>
      </c>
      <c r="Y139" s="15">
        <f t="shared" ref="Y139:Z139" si="282">AE139-W139</f>
        <v>24</v>
      </c>
      <c r="Z139" s="20">
        <f t="shared" si="282"/>
        <v>0.9230769231</v>
      </c>
      <c r="AA139" s="15">
        <v>0.0</v>
      </c>
      <c r="AB139" s="20">
        <f t="shared" si="8"/>
        <v>0</v>
      </c>
      <c r="AC139" s="15">
        <f t="shared" ref="AC139:AD139" si="283">AE139-AA139</f>
        <v>24</v>
      </c>
      <c r="AD139" s="20">
        <f t="shared" si="283"/>
        <v>0.9230769231</v>
      </c>
      <c r="AE139" s="15">
        <v>24.0</v>
      </c>
      <c r="AF139" s="20">
        <f t="shared" si="10"/>
        <v>0.9230769231</v>
      </c>
      <c r="AG139" s="15">
        <v>24.0</v>
      </c>
      <c r="AH139" s="20">
        <f t="shared" si="11"/>
        <v>0.9230769231</v>
      </c>
      <c r="AI139" s="15">
        <v>24.0</v>
      </c>
      <c r="AJ139" s="15">
        <v>0.0</v>
      </c>
      <c r="AK139" s="21">
        <v>0.0</v>
      </c>
      <c r="AL139" s="22">
        <v>0.923076923076923</v>
      </c>
      <c r="AM139" s="15">
        <v>2.0</v>
      </c>
      <c r="AN139" s="15">
        <v>2.0</v>
      </c>
      <c r="AO139" s="23" t="s">
        <v>63</v>
      </c>
      <c r="AP139" s="23" t="s">
        <v>64</v>
      </c>
      <c r="AQ139" s="13" t="s">
        <v>108</v>
      </c>
      <c r="AR139" s="24" t="s">
        <v>66</v>
      </c>
      <c r="AS139" s="24"/>
      <c r="AT139" s="25" t="s">
        <v>513</v>
      </c>
      <c r="AU139" s="26" t="s">
        <v>68</v>
      </c>
      <c r="AV139" s="27"/>
      <c r="AW139" s="24" t="s">
        <v>69</v>
      </c>
      <c r="AX139" s="28"/>
      <c r="AY139" s="29" t="s">
        <v>89</v>
      </c>
      <c r="AZ139" s="29"/>
      <c r="BA139" s="28"/>
      <c r="BB139" s="26" t="s">
        <v>90</v>
      </c>
      <c r="BC139" s="27"/>
      <c r="BD139" s="34" t="s">
        <v>91</v>
      </c>
      <c r="BE139" s="34"/>
      <c r="BF139" s="27"/>
      <c r="BG139" s="27"/>
      <c r="BH139" s="27"/>
    </row>
    <row r="140" ht="14.25" customHeight="1">
      <c r="A140" s="12" t="s">
        <v>514</v>
      </c>
      <c r="B140" s="12"/>
      <c r="C140" s="59"/>
      <c r="D140" s="14"/>
      <c r="E140" s="15"/>
      <c r="F140" s="16"/>
      <c r="G140" s="12"/>
      <c r="H140" s="16"/>
      <c r="I140" s="41">
        <v>0.2083</v>
      </c>
      <c r="J140" s="18"/>
      <c r="K140" s="18" t="s">
        <v>62</v>
      </c>
      <c r="L140" s="19" t="s">
        <v>62</v>
      </c>
      <c r="M140" s="19" t="s">
        <v>515</v>
      </c>
      <c r="N140" s="19"/>
      <c r="O140" s="19" t="s">
        <v>62</v>
      </c>
      <c r="P140" s="19" t="s">
        <v>62</v>
      </c>
      <c r="Q140" s="19" t="s">
        <v>86</v>
      </c>
      <c r="R140" s="15">
        <f t="shared" si="3"/>
        <v>0</v>
      </c>
      <c r="S140" s="15">
        <v>41.0</v>
      </c>
      <c r="T140" s="15">
        <v>8.0</v>
      </c>
      <c r="U140" s="20">
        <f t="shared" si="4"/>
        <v>0.1951219512</v>
      </c>
      <c r="V140" s="15">
        <f t="shared" si="5"/>
        <v>33</v>
      </c>
      <c r="W140" s="15">
        <v>8.0</v>
      </c>
      <c r="X140" s="20">
        <f t="shared" si="6"/>
        <v>0.1951219512</v>
      </c>
      <c r="Y140" s="15">
        <f t="shared" ref="Y140:Z140" si="284">AE140-W140</f>
        <v>33</v>
      </c>
      <c r="Z140" s="20">
        <f t="shared" si="284"/>
        <v>0.8048780488</v>
      </c>
      <c r="AA140" s="15">
        <v>8.0</v>
      </c>
      <c r="AB140" s="20">
        <f t="shared" si="8"/>
        <v>0.1951219512</v>
      </c>
      <c r="AC140" s="15">
        <f t="shared" ref="AC140:AD140" si="285">AE140-AA140</f>
        <v>33</v>
      </c>
      <c r="AD140" s="20">
        <f t="shared" si="285"/>
        <v>0.8048780488</v>
      </c>
      <c r="AE140" s="15">
        <v>41.0</v>
      </c>
      <c r="AF140" s="20">
        <f t="shared" si="10"/>
        <v>1</v>
      </c>
      <c r="AG140" s="15">
        <v>41.0</v>
      </c>
      <c r="AH140" s="20">
        <f t="shared" si="11"/>
        <v>1</v>
      </c>
      <c r="AI140" s="15">
        <v>41.0</v>
      </c>
      <c r="AJ140" s="15">
        <v>0.0</v>
      </c>
      <c r="AK140" s="21">
        <v>0.0</v>
      </c>
      <c r="AL140" s="22">
        <v>1.0</v>
      </c>
      <c r="AM140" s="15">
        <v>0.0</v>
      </c>
      <c r="AN140" s="15">
        <v>0.0</v>
      </c>
      <c r="AO140" s="23" t="s">
        <v>64</v>
      </c>
      <c r="AP140" s="23" t="s">
        <v>64</v>
      </c>
      <c r="AQ140" s="13" t="s">
        <v>65</v>
      </c>
      <c r="AR140" s="24" t="s">
        <v>66</v>
      </c>
      <c r="AS140" s="24"/>
      <c r="AT140" s="25" t="s">
        <v>516</v>
      </c>
      <c r="AU140" s="26" t="s">
        <v>68</v>
      </c>
      <c r="AV140" s="27"/>
      <c r="AW140" s="24" t="s">
        <v>69</v>
      </c>
      <c r="AX140" s="28"/>
      <c r="AY140" s="29" t="s">
        <v>517</v>
      </c>
      <c r="AZ140" s="24"/>
      <c r="BA140" s="25" t="s">
        <v>518</v>
      </c>
      <c r="BB140" s="26" t="s">
        <v>262</v>
      </c>
      <c r="BC140" s="27"/>
      <c r="BD140" s="34" t="s">
        <v>91</v>
      </c>
      <c r="BE140" s="34"/>
      <c r="BF140" s="28"/>
      <c r="BG140" s="27"/>
      <c r="BH140" s="27"/>
    </row>
    <row r="141" ht="14.25" customHeight="1">
      <c r="A141" s="12" t="s">
        <v>519</v>
      </c>
      <c r="B141" s="12"/>
      <c r="C141" s="13"/>
      <c r="D141" s="14"/>
      <c r="E141" s="15"/>
      <c r="F141" s="15"/>
      <c r="G141" s="12"/>
      <c r="H141" s="16"/>
      <c r="I141" s="17">
        <v>0.6111</v>
      </c>
      <c r="K141" s="18" t="s">
        <v>84</v>
      </c>
      <c r="L141" s="18" t="s">
        <v>86</v>
      </c>
      <c r="M141" s="18" t="s">
        <v>62</v>
      </c>
      <c r="N141" s="18"/>
      <c r="O141" s="18" t="s">
        <v>60</v>
      </c>
      <c r="P141" s="18" t="s">
        <v>60</v>
      </c>
      <c r="Q141" s="19" t="s">
        <v>60</v>
      </c>
      <c r="R141" s="15">
        <f t="shared" si="3"/>
        <v>0</v>
      </c>
      <c r="S141" s="15">
        <v>15.0</v>
      </c>
      <c r="T141" s="15">
        <v>9.0</v>
      </c>
      <c r="U141" s="20">
        <f t="shared" si="4"/>
        <v>0.6</v>
      </c>
      <c r="V141" s="15">
        <f t="shared" si="5"/>
        <v>6</v>
      </c>
      <c r="W141" s="15">
        <v>15.0</v>
      </c>
      <c r="X141" s="20">
        <f t="shared" si="6"/>
        <v>1</v>
      </c>
      <c r="Y141" s="15">
        <f t="shared" ref="Y141:Z141" si="286">AE141-W141</f>
        <v>0</v>
      </c>
      <c r="Z141" s="20">
        <f t="shared" si="286"/>
        <v>0</v>
      </c>
      <c r="AA141" s="15">
        <v>15.0</v>
      </c>
      <c r="AB141" s="20">
        <f t="shared" si="8"/>
        <v>1</v>
      </c>
      <c r="AC141" s="15">
        <f t="shared" ref="AC141:AD141" si="287">AE141-AA141</f>
        <v>0</v>
      </c>
      <c r="AD141" s="20">
        <f t="shared" si="287"/>
        <v>0</v>
      </c>
      <c r="AE141" s="15">
        <v>15.0</v>
      </c>
      <c r="AF141" s="20">
        <f t="shared" si="10"/>
        <v>1</v>
      </c>
      <c r="AG141" s="15" t="e">
        <v>#N/A</v>
      </c>
      <c r="AH141" s="20" t="str">
        <f t="shared" si="11"/>
        <v>#N/A</v>
      </c>
      <c r="AI141" s="15">
        <v>15.0</v>
      </c>
      <c r="AJ141" s="15">
        <v>0.0</v>
      </c>
      <c r="AK141" s="21">
        <v>0.0</v>
      </c>
      <c r="AL141" s="22">
        <v>1.0</v>
      </c>
      <c r="AM141" s="15">
        <v>0.0</v>
      </c>
      <c r="AN141" s="15">
        <v>0.0</v>
      </c>
      <c r="AO141" s="23" t="s">
        <v>63</v>
      </c>
      <c r="AP141" s="23" t="s">
        <v>64</v>
      </c>
      <c r="AQ141" s="13" t="s">
        <v>108</v>
      </c>
      <c r="AR141" s="24" t="s">
        <v>66</v>
      </c>
      <c r="AS141" s="24"/>
      <c r="AT141" s="126" t="s">
        <v>520</v>
      </c>
      <c r="AU141" s="26" t="s">
        <v>68</v>
      </c>
      <c r="AV141" s="27"/>
      <c r="AW141" s="24" t="s">
        <v>69</v>
      </c>
      <c r="AX141" s="28"/>
      <c r="AY141" s="29" t="s">
        <v>173</v>
      </c>
      <c r="AZ141" s="29"/>
      <c r="BA141" s="25"/>
      <c r="BB141" s="26" t="s">
        <v>90</v>
      </c>
      <c r="BC141" s="24"/>
      <c r="BD141" s="24" t="s">
        <v>91</v>
      </c>
      <c r="BE141" s="24"/>
      <c r="BF141" s="24"/>
      <c r="BG141" s="24"/>
      <c r="BH141" s="24" t="s">
        <v>149</v>
      </c>
    </row>
    <row r="142" ht="14.25" customHeight="1">
      <c r="A142" s="12" t="s">
        <v>521</v>
      </c>
      <c r="B142" s="12"/>
      <c r="C142" s="13"/>
      <c r="D142" s="14"/>
      <c r="E142" s="15"/>
      <c r="F142" s="15"/>
      <c r="G142" s="12"/>
      <c r="H142" s="16"/>
      <c r="I142" s="17">
        <v>1.0</v>
      </c>
      <c r="J142" s="18"/>
      <c r="K142" s="18" t="s">
        <v>75</v>
      </c>
      <c r="L142" s="18" t="s">
        <v>76</v>
      </c>
      <c r="M142" s="18" t="s">
        <v>62</v>
      </c>
      <c r="N142" s="18"/>
      <c r="O142" s="18" t="s">
        <v>60</v>
      </c>
      <c r="P142" s="18" t="s">
        <v>60</v>
      </c>
      <c r="Q142" s="19" t="s">
        <v>60</v>
      </c>
      <c r="R142" s="15">
        <f t="shared" si="3"/>
        <v>0</v>
      </c>
      <c r="S142" s="15">
        <v>23.0</v>
      </c>
      <c r="T142" s="15">
        <v>23.0</v>
      </c>
      <c r="U142" s="20">
        <f t="shared" si="4"/>
        <v>1</v>
      </c>
      <c r="V142" s="15">
        <f t="shared" si="5"/>
        <v>0</v>
      </c>
      <c r="W142" s="15">
        <v>23.0</v>
      </c>
      <c r="X142" s="20">
        <f t="shared" si="6"/>
        <v>1</v>
      </c>
      <c r="Y142" s="15">
        <f t="shared" ref="Y142:Z142" si="288">AE142-W142</f>
        <v>0</v>
      </c>
      <c r="Z142" s="20">
        <f t="shared" si="288"/>
        <v>0</v>
      </c>
      <c r="AA142" s="15">
        <v>23.0</v>
      </c>
      <c r="AB142" s="20">
        <f t="shared" si="8"/>
        <v>1</v>
      </c>
      <c r="AC142" s="15">
        <f t="shared" ref="AC142:AD142" si="289">AE142-AA142</f>
        <v>0</v>
      </c>
      <c r="AD142" s="20">
        <f t="shared" si="289"/>
        <v>0</v>
      </c>
      <c r="AE142" s="15">
        <v>23.0</v>
      </c>
      <c r="AF142" s="20">
        <f t="shared" si="10"/>
        <v>1</v>
      </c>
      <c r="AG142" s="15">
        <v>23.0</v>
      </c>
      <c r="AH142" s="20">
        <f t="shared" si="11"/>
        <v>1</v>
      </c>
      <c r="AI142" s="15">
        <v>23.0</v>
      </c>
      <c r="AJ142" s="15">
        <v>0.0</v>
      </c>
      <c r="AK142" s="21">
        <v>0.0</v>
      </c>
      <c r="AL142" s="22">
        <v>1.0</v>
      </c>
      <c r="AM142" s="15">
        <v>0.0</v>
      </c>
      <c r="AN142" s="15">
        <v>0.0</v>
      </c>
      <c r="AO142" s="23" t="s">
        <v>63</v>
      </c>
      <c r="AP142" s="23" t="s">
        <v>64</v>
      </c>
      <c r="AQ142" s="13" t="s">
        <v>104</v>
      </c>
      <c r="AR142" s="24" t="s">
        <v>66</v>
      </c>
      <c r="AS142" s="24"/>
      <c r="AT142" s="25" t="s">
        <v>522</v>
      </c>
      <c r="AU142" s="26" t="s">
        <v>68</v>
      </c>
      <c r="AV142" s="27"/>
      <c r="AW142" s="24" t="s">
        <v>69</v>
      </c>
      <c r="AX142" s="27"/>
      <c r="AY142" s="29" t="s">
        <v>70</v>
      </c>
      <c r="AZ142" s="30"/>
      <c r="BA142" s="25" t="s">
        <v>523</v>
      </c>
      <c r="BB142" s="26" t="s">
        <v>72</v>
      </c>
      <c r="BC142" s="27"/>
      <c r="BD142" s="24" t="s">
        <v>112</v>
      </c>
      <c r="BE142" s="25" t="s">
        <v>523</v>
      </c>
      <c r="BF142" s="27"/>
      <c r="BG142" s="27"/>
      <c r="BH142" s="27"/>
    </row>
    <row r="143" ht="14.25" customHeight="1">
      <c r="A143" s="12" t="s">
        <v>524</v>
      </c>
      <c r="B143" s="12"/>
      <c r="C143" s="13"/>
      <c r="D143" s="14"/>
      <c r="E143" s="15"/>
      <c r="F143" s="15"/>
      <c r="G143" s="12"/>
      <c r="H143" s="16"/>
      <c r="I143" s="17">
        <v>0.3125</v>
      </c>
      <c r="J143" s="18"/>
      <c r="K143" s="18" t="s">
        <v>84</v>
      </c>
      <c r="L143" s="18" t="s">
        <v>86</v>
      </c>
      <c r="M143" s="18" t="s">
        <v>202</v>
      </c>
      <c r="N143" s="18"/>
      <c r="O143" s="18" t="s">
        <v>62</v>
      </c>
      <c r="P143" s="18" t="s">
        <v>86</v>
      </c>
      <c r="Q143" s="19" t="s">
        <v>60</v>
      </c>
      <c r="R143" s="15">
        <f t="shared" si="3"/>
        <v>0</v>
      </c>
      <c r="S143" s="15">
        <v>45.0</v>
      </c>
      <c r="T143" s="15">
        <v>16.0</v>
      </c>
      <c r="U143" s="20">
        <f t="shared" si="4"/>
        <v>0.3555555556</v>
      </c>
      <c r="V143" s="15">
        <f t="shared" si="5"/>
        <v>19</v>
      </c>
      <c r="W143" s="15">
        <v>16.0</v>
      </c>
      <c r="X143" s="20">
        <f t="shared" si="6"/>
        <v>0.3555555556</v>
      </c>
      <c r="Y143" s="15">
        <f t="shared" ref="Y143:Z143" si="290">AE143-W143</f>
        <v>19</v>
      </c>
      <c r="Z143" s="20">
        <f t="shared" si="290"/>
        <v>0.4222222222</v>
      </c>
      <c r="AA143" s="15">
        <v>35.0</v>
      </c>
      <c r="AB143" s="20">
        <f t="shared" si="8"/>
        <v>0.7777777778</v>
      </c>
      <c r="AC143" s="15">
        <f t="shared" ref="AC143:AD143" si="291">AE143-AA143</f>
        <v>0</v>
      </c>
      <c r="AD143" s="20">
        <f t="shared" si="291"/>
        <v>0</v>
      </c>
      <c r="AE143" s="15">
        <v>35.0</v>
      </c>
      <c r="AF143" s="20">
        <f t="shared" si="10"/>
        <v>0.7777777778</v>
      </c>
      <c r="AG143" s="15">
        <v>35.0</v>
      </c>
      <c r="AH143" s="20">
        <f t="shared" si="11"/>
        <v>0.7777777778</v>
      </c>
      <c r="AI143" s="15">
        <v>35.0</v>
      </c>
      <c r="AJ143" s="15">
        <v>0.0</v>
      </c>
      <c r="AK143" s="21">
        <v>0.0</v>
      </c>
      <c r="AL143" s="22">
        <v>0.777777777777778</v>
      </c>
      <c r="AM143" s="15">
        <v>0.0</v>
      </c>
      <c r="AN143" s="15">
        <v>10.0</v>
      </c>
      <c r="AO143" s="23" t="s">
        <v>64</v>
      </c>
      <c r="AP143" s="23" t="s">
        <v>64</v>
      </c>
      <c r="AQ143" s="13" t="s">
        <v>93</v>
      </c>
      <c r="AR143" s="24" t="s">
        <v>130</v>
      </c>
      <c r="AS143" s="24"/>
      <c r="AT143" s="25" t="s">
        <v>525</v>
      </c>
      <c r="AU143" s="26" t="s">
        <v>68</v>
      </c>
      <c r="AV143" s="27"/>
      <c r="AW143" s="24" t="s">
        <v>69</v>
      </c>
      <c r="AX143" s="28"/>
      <c r="AY143" s="29" t="s">
        <v>110</v>
      </c>
      <c r="AZ143" s="32"/>
      <c r="BA143" s="25" t="s">
        <v>526</v>
      </c>
      <c r="BB143" s="26" t="s">
        <v>168</v>
      </c>
      <c r="BC143" s="27"/>
      <c r="BD143" s="24"/>
      <c r="BE143" s="27"/>
      <c r="BF143" s="27"/>
      <c r="BG143" s="27"/>
      <c r="BH143" s="27"/>
    </row>
    <row r="144" ht="14.25" customHeight="1">
      <c r="A144" s="12" t="s">
        <v>527</v>
      </c>
      <c r="B144" s="12"/>
      <c r="C144" s="13"/>
      <c r="D144" s="14"/>
      <c r="E144" s="15"/>
      <c r="F144" s="15"/>
      <c r="G144" s="12"/>
      <c r="H144" s="16"/>
      <c r="I144" s="17">
        <v>0.093</v>
      </c>
      <c r="J144" s="18"/>
      <c r="K144" s="18"/>
      <c r="L144" s="18" t="s">
        <v>84</v>
      </c>
      <c r="M144" s="18" t="s">
        <v>264</v>
      </c>
      <c r="N144" s="18"/>
      <c r="O144" s="18" t="s">
        <v>84</v>
      </c>
      <c r="P144" s="18" t="s">
        <v>86</v>
      </c>
      <c r="Q144" s="19" t="s">
        <v>60</v>
      </c>
      <c r="R144" s="15">
        <f t="shared" si="3"/>
        <v>0</v>
      </c>
      <c r="S144" s="15">
        <v>31.0</v>
      </c>
      <c r="T144" s="15">
        <v>0.0</v>
      </c>
      <c r="U144" s="20">
        <f t="shared" si="4"/>
        <v>0</v>
      </c>
      <c r="V144" s="15">
        <f t="shared" si="5"/>
        <v>30</v>
      </c>
      <c r="W144" s="15">
        <v>0.0</v>
      </c>
      <c r="X144" s="20">
        <f t="shared" si="6"/>
        <v>0</v>
      </c>
      <c r="Y144" s="15">
        <f t="shared" ref="Y144:Z144" si="292">AE144-W144</f>
        <v>30</v>
      </c>
      <c r="Z144" s="20">
        <f t="shared" si="292"/>
        <v>0.9677419355</v>
      </c>
      <c r="AA144" s="15">
        <v>30.0</v>
      </c>
      <c r="AB144" s="20">
        <f t="shared" si="8"/>
        <v>0.9677419355</v>
      </c>
      <c r="AC144" s="15">
        <f t="shared" ref="AC144:AD144" si="293">AE144-AA144</f>
        <v>0</v>
      </c>
      <c r="AD144" s="20">
        <f t="shared" si="293"/>
        <v>0</v>
      </c>
      <c r="AE144" s="15">
        <v>30.0</v>
      </c>
      <c r="AF144" s="20">
        <f t="shared" si="10"/>
        <v>0.9677419355</v>
      </c>
      <c r="AG144" s="15">
        <v>30.0</v>
      </c>
      <c r="AH144" s="20">
        <f t="shared" si="11"/>
        <v>0.9677419355</v>
      </c>
      <c r="AI144" s="15">
        <v>30.0</v>
      </c>
      <c r="AJ144" s="15">
        <v>0.0</v>
      </c>
      <c r="AK144" s="21">
        <v>0.0</v>
      </c>
      <c r="AL144" s="22">
        <v>0.967741935483871</v>
      </c>
      <c r="AM144" s="15">
        <v>0.0</v>
      </c>
      <c r="AN144" s="15">
        <v>1.0</v>
      </c>
      <c r="AO144" s="23" t="s">
        <v>64</v>
      </c>
      <c r="AP144" s="23" t="s">
        <v>64</v>
      </c>
      <c r="AQ144" s="13" t="s">
        <v>108</v>
      </c>
      <c r="AR144" s="24" t="s">
        <v>130</v>
      </c>
      <c r="AS144" s="24"/>
      <c r="AT144" s="25" t="s">
        <v>528</v>
      </c>
      <c r="AU144" s="26" t="s">
        <v>88</v>
      </c>
      <c r="AV144" s="36"/>
      <c r="AW144" s="24" t="s">
        <v>69</v>
      </c>
      <c r="AX144" s="27"/>
      <c r="AY144" s="29" t="s">
        <v>89</v>
      </c>
      <c r="AZ144" s="29"/>
      <c r="BA144" s="28"/>
      <c r="BB144" s="26" t="s">
        <v>90</v>
      </c>
      <c r="BC144" s="27"/>
      <c r="BD144" s="34" t="s">
        <v>91</v>
      </c>
      <c r="BE144" s="34"/>
      <c r="BF144" s="27"/>
      <c r="BG144" s="27"/>
      <c r="BH144" s="27"/>
    </row>
    <row r="145" ht="14.25" customHeight="1">
      <c r="A145" s="12" t="s">
        <v>529</v>
      </c>
      <c r="B145" s="12"/>
      <c r="C145" s="13"/>
      <c r="D145" s="14"/>
      <c r="E145" s="15"/>
      <c r="F145" s="15"/>
      <c r="G145" s="12"/>
      <c r="H145" s="16"/>
      <c r="I145" s="17">
        <v>0.0</v>
      </c>
      <c r="J145" s="18"/>
      <c r="K145" s="18"/>
      <c r="L145" s="18" t="s">
        <v>129</v>
      </c>
      <c r="M145" s="18" t="s">
        <v>129</v>
      </c>
      <c r="N145" s="18"/>
      <c r="O145" s="18" t="s">
        <v>84</v>
      </c>
      <c r="P145" s="18" t="s">
        <v>84</v>
      </c>
      <c r="Q145" s="19" t="s">
        <v>84</v>
      </c>
      <c r="R145" s="15">
        <f t="shared" si="3"/>
        <v>0</v>
      </c>
      <c r="S145" s="15">
        <v>95.0</v>
      </c>
      <c r="T145" s="15">
        <v>0.0</v>
      </c>
      <c r="U145" s="20">
        <f t="shared" si="4"/>
        <v>0</v>
      </c>
      <c r="V145" s="15">
        <f t="shared" si="5"/>
        <v>72</v>
      </c>
      <c r="W145" s="15">
        <v>0.0</v>
      </c>
      <c r="X145" s="20">
        <f t="shared" si="6"/>
        <v>0</v>
      </c>
      <c r="Y145" s="15">
        <f t="shared" ref="Y145:Z145" si="294">AE145-W145</f>
        <v>72</v>
      </c>
      <c r="Z145" s="20">
        <f t="shared" si="294"/>
        <v>0.7578947368</v>
      </c>
      <c r="AA145" s="15">
        <v>0.0</v>
      </c>
      <c r="AB145" s="20">
        <f t="shared" si="8"/>
        <v>0</v>
      </c>
      <c r="AC145" s="15">
        <f t="shared" ref="AC145:AD145" si="295">AE145-AA145</f>
        <v>72</v>
      </c>
      <c r="AD145" s="20">
        <f t="shared" si="295"/>
        <v>0.7578947368</v>
      </c>
      <c r="AE145" s="15">
        <v>72.0</v>
      </c>
      <c r="AF145" s="20">
        <f t="shared" si="10"/>
        <v>0.7578947368</v>
      </c>
      <c r="AG145" s="15">
        <v>72.0</v>
      </c>
      <c r="AH145" s="20">
        <f t="shared" si="11"/>
        <v>0.7578947368</v>
      </c>
      <c r="AI145" s="15">
        <v>72.0</v>
      </c>
      <c r="AJ145" s="15">
        <v>0.0</v>
      </c>
      <c r="AK145" s="21">
        <v>0.0</v>
      </c>
      <c r="AL145" s="22">
        <v>0.757894736842105</v>
      </c>
      <c r="AM145" s="15">
        <v>23.0</v>
      </c>
      <c r="AN145" s="15">
        <v>23.0</v>
      </c>
      <c r="AO145" s="23" t="s">
        <v>64</v>
      </c>
      <c r="AP145" s="23" t="s">
        <v>64</v>
      </c>
      <c r="AQ145" s="13" t="e">
        <v>#N/A</v>
      </c>
      <c r="AR145" s="24" t="s">
        <v>66</v>
      </c>
      <c r="AS145" s="24"/>
      <c r="AT145" s="25" t="s">
        <v>530</v>
      </c>
      <c r="AU145" s="26" t="s">
        <v>106</v>
      </c>
      <c r="AV145" s="27"/>
      <c r="AW145" s="27"/>
      <c r="AX145" s="28"/>
      <c r="AY145" s="29" t="s">
        <v>89</v>
      </c>
      <c r="AZ145" s="29"/>
      <c r="BA145" s="28"/>
      <c r="BB145" s="26" t="s">
        <v>90</v>
      </c>
      <c r="BC145" s="27"/>
      <c r="BD145" s="34" t="s">
        <v>91</v>
      </c>
      <c r="BE145" s="34"/>
      <c r="BF145" s="27"/>
      <c r="BG145" s="27"/>
      <c r="BH145" s="27"/>
    </row>
    <row r="146" ht="14.25" customHeight="1">
      <c r="A146" s="12" t="s">
        <v>531</v>
      </c>
      <c r="B146" s="12"/>
      <c r="C146" s="13"/>
      <c r="D146" s="14"/>
      <c r="E146" s="15"/>
      <c r="F146" s="15"/>
      <c r="G146" s="12"/>
      <c r="H146" s="16"/>
      <c r="I146" s="17">
        <v>0.6176</v>
      </c>
      <c r="J146" s="18"/>
      <c r="K146" s="18"/>
      <c r="L146" s="18" t="s">
        <v>270</v>
      </c>
      <c r="M146" s="18" t="s">
        <v>60</v>
      </c>
      <c r="N146" s="18"/>
      <c r="O146" s="18" t="s">
        <v>60</v>
      </c>
      <c r="P146" s="18" t="s">
        <v>60</v>
      </c>
      <c r="Q146" s="19" t="s">
        <v>60</v>
      </c>
      <c r="R146" s="15">
        <f t="shared" si="3"/>
        <v>0</v>
      </c>
      <c r="S146" s="15">
        <v>34.0</v>
      </c>
      <c r="T146" s="15">
        <v>21.0</v>
      </c>
      <c r="U146" s="20">
        <f t="shared" si="4"/>
        <v>0.6176470588</v>
      </c>
      <c r="V146" s="15">
        <f t="shared" si="5"/>
        <v>0</v>
      </c>
      <c r="W146" s="15">
        <v>21.0</v>
      </c>
      <c r="X146" s="20">
        <f t="shared" si="6"/>
        <v>0.6176470588</v>
      </c>
      <c r="Y146" s="15">
        <f t="shared" ref="Y146:Z146" si="296">AE146-W146</f>
        <v>0</v>
      </c>
      <c r="Z146" s="20">
        <f t="shared" si="296"/>
        <v>0</v>
      </c>
      <c r="AA146" s="15">
        <v>21.0</v>
      </c>
      <c r="AB146" s="20">
        <f t="shared" si="8"/>
        <v>0.6176470588</v>
      </c>
      <c r="AC146" s="15">
        <f t="shared" ref="AC146:AD146" si="297">AE146-AA146</f>
        <v>0</v>
      </c>
      <c r="AD146" s="20">
        <f t="shared" si="297"/>
        <v>0</v>
      </c>
      <c r="AE146" s="15">
        <v>21.0</v>
      </c>
      <c r="AF146" s="20">
        <f t="shared" si="10"/>
        <v>0.6176470588</v>
      </c>
      <c r="AG146" s="15" t="e">
        <v>#N/A</v>
      </c>
      <c r="AH146" s="20" t="str">
        <f t="shared" si="11"/>
        <v>#N/A</v>
      </c>
      <c r="AI146" s="15">
        <v>21.0</v>
      </c>
      <c r="AJ146" s="15">
        <v>0.0</v>
      </c>
      <c r="AK146" s="21">
        <v>0.0</v>
      </c>
      <c r="AL146" s="22">
        <v>0.617647058823529</v>
      </c>
      <c r="AM146" s="15">
        <v>13.0</v>
      </c>
      <c r="AN146" s="15">
        <v>13.0</v>
      </c>
      <c r="AO146" s="23" t="s">
        <v>63</v>
      </c>
      <c r="AP146" s="23" t="s">
        <v>64</v>
      </c>
      <c r="AQ146" s="13" t="e">
        <v>#N/A</v>
      </c>
      <c r="AR146" s="24" t="s">
        <v>66</v>
      </c>
      <c r="AS146" s="24"/>
      <c r="AT146" s="25" t="s">
        <v>532</v>
      </c>
      <c r="AU146" s="26" t="s">
        <v>118</v>
      </c>
      <c r="AV146" s="27"/>
      <c r="AW146" s="24" t="s">
        <v>133</v>
      </c>
      <c r="AX146" s="42">
        <v>46001.0</v>
      </c>
      <c r="AY146" s="29" t="s">
        <v>173</v>
      </c>
      <c r="AZ146" s="122"/>
      <c r="BA146" s="28"/>
      <c r="BB146" s="26"/>
      <c r="BC146" s="27"/>
      <c r="BD146" s="24"/>
      <c r="BE146" s="24"/>
      <c r="BF146" s="27"/>
      <c r="BG146" s="27"/>
      <c r="BH146" s="27"/>
    </row>
    <row r="147" ht="14.25" customHeight="1">
      <c r="A147" s="12" t="s">
        <v>533</v>
      </c>
      <c r="B147" s="12"/>
      <c r="C147" s="13"/>
      <c r="D147" s="14"/>
      <c r="E147" s="15"/>
      <c r="F147" s="15"/>
      <c r="G147" s="12"/>
      <c r="H147" s="16"/>
      <c r="I147" s="17">
        <v>0.0</v>
      </c>
      <c r="J147" s="18"/>
      <c r="K147" s="18"/>
      <c r="L147" s="18" t="s">
        <v>84</v>
      </c>
      <c r="M147" s="18" t="s">
        <v>62</v>
      </c>
      <c r="N147" s="18" t="s">
        <v>84</v>
      </c>
      <c r="O147" s="18" t="s">
        <v>86</v>
      </c>
      <c r="P147" s="18" t="s">
        <v>162</v>
      </c>
      <c r="Q147" s="19" t="s">
        <v>60</v>
      </c>
      <c r="R147" s="15">
        <f t="shared" si="3"/>
        <v>0</v>
      </c>
      <c r="S147" s="15">
        <v>23.0</v>
      </c>
      <c r="T147" s="15">
        <v>0.0</v>
      </c>
      <c r="U147" s="20">
        <f t="shared" si="4"/>
        <v>0</v>
      </c>
      <c r="V147" s="15">
        <f t="shared" si="5"/>
        <v>18</v>
      </c>
      <c r="W147" s="15">
        <v>0.0</v>
      </c>
      <c r="X147" s="20">
        <f t="shared" si="6"/>
        <v>0</v>
      </c>
      <c r="Y147" s="15">
        <f t="shared" ref="Y147:Z147" si="298">AE147-W147</f>
        <v>18</v>
      </c>
      <c r="Z147" s="20">
        <f t="shared" si="298"/>
        <v>0.7826086957</v>
      </c>
      <c r="AA147" s="15">
        <v>18.0</v>
      </c>
      <c r="AB147" s="20">
        <f t="shared" si="8"/>
        <v>0.7826086957</v>
      </c>
      <c r="AC147" s="15">
        <f t="shared" ref="AC147:AD147" si="299">AE147-AA147</f>
        <v>0</v>
      </c>
      <c r="AD147" s="20">
        <f t="shared" si="299"/>
        <v>0</v>
      </c>
      <c r="AE147" s="15">
        <v>18.0</v>
      </c>
      <c r="AF147" s="20">
        <f t="shared" si="10"/>
        <v>0.7826086957</v>
      </c>
      <c r="AG147" s="15">
        <v>18.0</v>
      </c>
      <c r="AH147" s="20">
        <f t="shared" si="11"/>
        <v>0.7826086957</v>
      </c>
      <c r="AI147" s="15">
        <v>18.0</v>
      </c>
      <c r="AJ147" s="15">
        <v>0.0</v>
      </c>
      <c r="AK147" s="21">
        <v>0.0</v>
      </c>
      <c r="AL147" s="22">
        <v>0.782608695652174</v>
      </c>
      <c r="AM147" s="15">
        <v>5.0</v>
      </c>
      <c r="AN147" s="15">
        <v>5.0</v>
      </c>
      <c r="AO147" s="23" t="s">
        <v>63</v>
      </c>
      <c r="AP147" s="23" t="s">
        <v>64</v>
      </c>
      <c r="AQ147" s="13" t="s">
        <v>93</v>
      </c>
      <c r="AR147" s="24" t="s">
        <v>66</v>
      </c>
      <c r="AS147" s="24"/>
      <c r="AT147" s="25" t="s">
        <v>534</v>
      </c>
      <c r="AU147" s="26" t="s">
        <v>118</v>
      </c>
      <c r="AV147" s="27"/>
      <c r="AW147" s="24" t="s">
        <v>79</v>
      </c>
      <c r="AX147" s="42"/>
      <c r="AY147" s="29" t="s">
        <v>134</v>
      </c>
      <c r="AZ147" s="29"/>
      <c r="BA147" s="28"/>
      <c r="BB147" s="26" t="s">
        <v>90</v>
      </c>
      <c r="BC147" s="27"/>
      <c r="BD147" s="34" t="s">
        <v>91</v>
      </c>
      <c r="BE147" s="34"/>
      <c r="BF147" s="27"/>
      <c r="BG147" s="27"/>
      <c r="BH147" s="27"/>
    </row>
    <row r="148" ht="14.25" customHeight="1">
      <c r="A148" s="12" t="s">
        <v>535</v>
      </c>
      <c r="B148" s="12"/>
      <c r="C148" s="59"/>
      <c r="D148" s="14"/>
      <c r="E148" s="15"/>
      <c r="F148" s="16"/>
      <c r="G148" s="12"/>
      <c r="H148" s="16"/>
      <c r="I148" s="41">
        <v>0.1277</v>
      </c>
      <c r="J148" s="19"/>
      <c r="K148" s="18" t="s">
        <v>84</v>
      </c>
      <c r="L148" s="19" t="s">
        <v>62</v>
      </c>
      <c r="M148" s="19" t="s">
        <v>62</v>
      </c>
      <c r="N148" s="19"/>
      <c r="O148" s="19" t="s">
        <v>62</v>
      </c>
      <c r="P148" s="19" t="s">
        <v>62</v>
      </c>
      <c r="Q148" s="19" t="s">
        <v>86</v>
      </c>
      <c r="R148" s="15">
        <f t="shared" si="3"/>
        <v>0</v>
      </c>
      <c r="S148" s="15">
        <v>28.0</v>
      </c>
      <c r="T148" s="15">
        <v>1.0</v>
      </c>
      <c r="U148" s="20">
        <f t="shared" si="4"/>
        <v>0.03571428571</v>
      </c>
      <c r="V148" s="15">
        <f t="shared" si="5"/>
        <v>27</v>
      </c>
      <c r="W148" s="15">
        <v>1.0</v>
      </c>
      <c r="X148" s="20">
        <f t="shared" si="6"/>
        <v>0.03571428571</v>
      </c>
      <c r="Y148" s="15">
        <f t="shared" ref="Y148:Z148" si="300">AE148-W148</f>
        <v>27</v>
      </c>
      <c r="Z148" s="20">
        <f t="shared" si="300"/>
        <v>0.9642857143</v>
      </c>
      <c r="AA148" s="15">
        <v>1.0</v>
      </c>
      <c r="AB148" s="20">
        <f t="shared" si="8"/>
        <v>0.03571428571</v>
      </c>
      <c r="AC148" s="15">
        <f t="shared" ref="AC148:AD148" si="301">AE148-AA148</f>
        <v>27</v>
      </c>
      <c r="AD148" s="20">
        <f t="shared" si="301"/>
        <v>0.9642857143</v>
      </c>
      <c r="AE148" s="15">
        <v>28.0</v>
      </c>
      <c r="AF148" s="20">
        <f t="shared" si="10"/>
        <v>1</v>
      </c>
      <c r="AG148" s="15">
        <v>28.0</v>
      </c>
      <c r="AH148" s="20">
        <f t="shared" si="11"/>
        <v>1</v>
      </c>
      <c r="AI148" s="15">
        <v>28.0</v>
      </c>
      <c r="AJ148" s="15">
        <v>0.0</v>
      </c>
      <c r="AK148" s="21">
        <v>0.0</v>
      </c>
      <c r="AL148" s="22">
        <v>1.0</v>
      </c>
      <c r="AM148" s="15">
        <v>0.0</v>
      </c>
      <c r="AN148" s="15">
        <v>0.0</v>
      </c>
      <c r="AO148" s="23" t="s">
        <v>64</v>
      </c>
      <c r="AP148" s="23" t="s">
        <v>64</v>
      </c>
      <c r="AQ148" s="13" t="s">
        <v>108</v>
      </c>
      <c r="AR148" s="24" t="s">
        <v>66</v>
      </c>
      <c r="AS148" s="24"/>
      <c r="AT148" s="25" t="s">
        <v>536</v>
      </c>
      <c r="AU148" s="26" t="s">
        <v>132</v>
      </c>
      <c r="AV148" s="27"/>
      <c r="AW148" s="24" t="s">
        <v>133</v>
      </c>
      <c r="AX148" s="42">
        <v>46003.0</v>
      </c>
      <c r="AY148" s="29" t="s">
        <v>412</v>
      </c>
      <c r="AZ148" s="24"/>
      <c r="BA148" s="25" t="s">
        <v>537</v>
      </c>
      <c r="BB148" s="26" t="s">
        <v>72</v>
      </c>
      <c r="BC148" s="27"/>
      <c r="BD148" s="34" t="s">
        <v>91</v>
      </c>
      <c r="BE148" s="34"/>
      <c r="BF148" s="28"/>
      <c r="BG148" s="27"/>
      <c r="BH148" s="27"/>
    </row>
    <row r="149" ht="14.25" customHeight="1">
      <c r="A149" s="12" t="s">
        <v>538</v>
      </c>
      <c r="B149" s="12"/>
      <c r="C149" s="13"/>
      <c r="D149" s="14"/>
      <c r="E149" s="15"/>
      <c r="F149" s="15"/>
      <c r="G149" s="12"/>
      <c r="H149" s="16"/>
      <c r="I149" s="17">
        <v>1.0</v>
      </c>
      <c r="J149" s="18"/>
      <c r="K149" s="18" t="s">
        <v>98</v>
      </c>
      <c r="L149" s="18" t="s">
        <v>61</v>
      </c>
      <c r="M149" s="18" t="s">
        <v>60</v>
      </c>
      <c r="N149" s="18"/>
      <c r="O149" s="18" t="s">
        <v>60</v>
      </c>
      <c r="P149" s="18" t="s">
        <v>60</v>
      </c>
      <c r="Q149" s="19" t="s">
        <v>60</v>
      </c>
      <c r="R149" s="15">
        <f t="shared" si="3"/>
        <v>0</v>
      </c>
      <c r="S149" s="15">
        <v>374.0</v>
      </c>
      <c r="T149" s="15">
        <v>374.0</v>
      </c>
      <c r="U149" s="20">
        <f t="shared" si="4"/>
        <v>1</v>
      </c>
      <c r="V149" s="15">
        <f t="shared" si="5"/>
        <v>0</v>
      </c>
      <c r="W149" s="15">
        <v>374.0</v>
      </c>
      <c r="X149" s="20">
        <f t="shared" si="6"/>
        <v>1</v>
      </c>
      <c r="Y149" s="15">
        <f t="shared" ref="Y149:Z149" si="302">AE149-W149</f>
        <v>0</v>
      </c>
      <c r="Z149" s="20">
        <f t="shared" si="302"/>
        <v>0</v>
      </c>
      <c r="AA149" s="15">
        <v>374.0</v>
      </c>
      <c r="AB149" s="20">
        <f t="shared" si="8"/>
        <v>1</v>
      </c>
      <c r="AC149" s="15">
        <f t="shared" ref="AC149:AD149" si="303">AE149-AA149</f>
        <v>0</v>
      </c>
      <c r="AD149" s="20">
        <f t="shared" si="303"/>
        <v>0</v>
      </c>
      <c r="AE149" s="15">
        <v>374.0</v>
      </c>
      <c r="AF149" s="20">
        <f t="shared" si="10"/>
        <v>1</v>
      </c>
      <c r="AG149" s="15">
        <v>374.0</v>
      </c>
      <c r="AH149" s="20">
        <f t="shared" si="11"/>
        <v>1</v>
      </c>
      <c r="AI149" s="15">
        <v>374.0</v>
      </c>
      <c r="AJ149" s="15">
        <v>0.0</v>
      </c>
      <c r="AK149" s="21">
        <v>0.0</v>
      </c>
      <c r="AL149" s="22">
        <v>1.0</v>
      </c>
      <c r="AM149" s="15">
        <v>0.0</v>
      </c>
      <c r="AN149" s="15">
        <v>0.0</v>
      </c>
      <c r="AO149" s="23" t="s">
        <v>64</v>
      </c>
      <c r="AP149" s="23" t="s">
        <v>64</v>
      </c>
      <c r="AQ149" s="13" t="s">
        <v>77</v>
      </c>
      <c r="AR149" s="24" t="s">
        <v>66</v>
      </c>
      <c r="AS149" s="24"/>
      <c r="AT149" s="25" t="s">
        <v>539</v>
      </c>
      <c r="AU149" s="26" t="s">
        <v>68</v>
      </c>
      <c r="AV149" s="27"/>
      <c r="AW149" s="24" t="s">
        <v>69</v>
      </c>
      <c r="AX149" s="28"/>
      <c r="AY149" s="29" t="s">
        <v>540</v>
      </c>
      <c r="AZ149" s="62"/>
      <c r="BA149" s="28"/>
      <c r="BB149" s="26" t="s">
        <v>90</v>
      </c>
      <c r="BC149" s="27"/>
      <c r="BD149" s="24"/>
      <c r="BE149" s="24"/>
      <c r="BF149" s="27"/>
      <c r="BG149" s="27"/>
      <c r="BH149" s="27"/>
    </row>
    <row r="150" ht="14.25" customHeight="1">
      <c r="A150" s="12" t="s">
        <v>541</v>
      </c>
      <c r="B150" s="12"/>
      <c r="C150" s="13"/>
      <c r="D150" s="14"/>
      <c r="E150" s="15"/>
      <c r="F150" s="15"/>
      <c r="G150" s="12"/>
      <c r="H150" s="16"/>
      <c r="I150" s="17">
        <v>1.0</v>
      </c>
      <c r="J150" s="18" t="s">
        <v>542</v>
      </c>
      <c r="K150" s="18"/>
      <c r="L150" s="18" t="s">
        <v>543</v>
      </c>
      <c r="M150" s="18" t="s">
        <v>60</v>
      </c>
      <c r="N150" s="18"/>
      <c r="O150" s="18" t="s">
        <v>60</v>
      </c>
      <c r="P150" s="18" t="s">
        <v>60</v>
      </c>
      <c r="Q150" s="19" t="s">
        <v>60</v>
      </c>
      <c r="R150" s="15">
        <f t="shared" si="3"/>
        <v>0</v>
      </c>
      <c r="S150" s="15">
        <v>17.0</v>
      </c>
      <c r="T150" s="15">
        <v>17.0</v>
      </c>
      <c r="U150" s="20">
        <f t="shared" si="4"/>
        <v>1</v>
      </c>
      <c r="V150" s="15">
        <f t="shared" si="5"/>
        <v>0</v>
      </c>
      <c r="W150" s="15">
        <v>17.0</v>
      </c>
      <c r="X150" s="20">
        <f t="shared" si="6"/>
        <v>1</v>
      </c>
      <c r="Y150" s="15">
        <f t="shared" ref="Y150:Z150" si="304">AE150-W150</f>
        <v>0</v>
      </c>
      <c r="Z150" s="20">
        <f t="shared" si="304"/>
        <v>0</v>
      </c>
      <c r="AA150" s="15">
        <v>17.0</v>
      </c>
      <c r="AB150" s="20">
        <f t="shared" si="8"/>
        <v>1</v>
      </c>
      <c r="AC150" s="15">
        <f t="shared" ref="AC150:AD150" si="305">AE150-AA150</f>
        <v>0</v>
      </c>
      <c r="AD150" s="20">
        <f t="shared" si="305"/>
        <v>0</v>
      </c>
      <c r="AE150" s="15">
        <v>17.0</v>
      </c>
      <c r="AF150" s="20">
        <f t="shared" si="10"/>
        <v>1</v>
      </c>
      <c r="AG150" s="15">
        <v>17.0</v>
      </c>
      <c r="AH150" s="20">
        <f t="shared" si="11"/>
        <v>1</v>
      </c>
      <c r="AI150" s="15">
        <v>17.0</v>
      </c>
      <c r="AJ150" s="15">
        <v>0.0</v>
      </c>
      <c r="AK150" s="21">
        <v>0.0</v>
      </c>
      <c r="AL150" s="22">
        <v>1.0</v>
      </c>
      <c r="AM150" s="15">
        <v>0.0</v>
      </c>
      <c r="AN150" s="15">
        <v>0.0</v>
      </c>
      <c r="AO150" s="23" t="s">
        <v>63</v>
      </c>
      <c r="AP150" s="23" t="s">
        <v>64</v>
      </c>
      <c r="AQ150" s="13" t="s">
        <v>65</v>
      </c>
      <c r="AR150" s="24" t="s">
        <v>66</v>
      </c>
      <c r="AS150" s="24"/>
      <c r="AT150" s="52" t="s">
        <v>544</v>
      </c>
      <c r="AU150" s="26" t="s">
        <v>253</v>
      </c>
      <c r="AV150" s="27"/>
      <c r="AW150" s="24" t="s">
        <v>133</v>
      </c>
      <c r="AX150" s="42">
        <v>46001.0</v>
      </c>
      <c r="AY150" s="29" t="s">
        <v>254</v>
      </c>
      <c r="AZ150" s="30"/>
      <c r="BA150" s="25" t="s">
        <v>545</v>
      </c>
      <c r="BB150" s="26" t="s">
        <v>168</v>
      </c>
      <c r="BC150" s="27"/>
      <c r="BD150" s="24" t="s">
        <v>112</v>
      </c>
      <c r="BE150" s="27"/>
      <c r="BF150" s="27"/>
      <c r="BG150" s="27"/>
      <c r="BH150" s="27"/>
    </row>
    <row r="151" ht="14.25" customHeight="1">
      <c r="A151" s="12" t="s">
        <v>546</v>
      </c>
      <c r="B151" s="12"/>
      <c r="C151" s="13"/>
      <c r="D151" s="14"/>
      <c r="E151" s="15"/>
      <c r="F151" s="19"/>
      <c r="G151" s="39"/>
      <c r="H151" s="18"/>
      <c r="I151" s="17">
        <v>1.0</v>
      </c>
      <c r="J151" s="18"/>
      <c r="K151" s="18" t="s">
        <v>151</v>
      </c>
      <c r="L151" s="18" t="s">
        <v>61</v>
      </c>
      <c r="M151" s="18" t="s">
        <v>60</v>
      </c>
      <c r="N151" s="18"/>
      <c r="O151" s="18" t="s">
        <v>60</v>
      </c>
      <c r="P151" s="18" t="s">
        <v>60</v>
      </c>
      <c r="Q151" s="19" t="s">
        <v>60</v>
      </c>
      <c r="R151" s="15">
        <f t="shared" si="3"/>
        <v>0</v>
      </c>
      <c r="S151" s="15">
        <v>16.0</v>
      </c>
      <c r="T151" s="15">
        <v>16.0</v>
      </c>
      <c r="U151" s="20">
        <f t="shared" si="4"/>
        <v>1</v>
      </c>
      <c r="V151" s="15">
        <f t="shared" si="5"/>
        <v>0</v>
      </c>
      <c r="W151" s="15">
        <v>16.0</v>
      </c>
      <c r="X151" s="20">
        <f t="shared" si="6"/>
        <v>1</v>
      </c>
      <c r="Y151" s="15">
        <f t="shared" ref="Y151:Z151" si="306">AE151-W151</f>
        <v>0</v>
      </c>
      <c r="Z151" s="20">
        <f t="shared" si="306"/>
        <v>0</v>
      </c>
      <c r="AA151" s="15">
        <v>16.0</v>
      </c>
      <c r="AB151" s="20">
        <f t="shared" si="8"/>
        <v>1</v>
      </c>
      <c r="AC151" s="15">
        <f t="shared" ref="AC151:AD151" si="307">AE151-AA151</f>
        <v>0</v>
      </c>
      <c r="AD151" s="20">
        <f t="shared" si="307"/>
        <v>0</v>
      </c>
      <c r="AE151" s="15">
        <v>16.0</v>
      </c>
      <c r="AF151" s="20">
        <f t="shared" si="10"/>
        <v>1</v>
      </c>
      <c r="AG151" s="15">
        <v>16.0</v>
      </c>
      <c r="AH151" s="20">
        <f t="shared" si="11"/>
        <v>1</v>
      </c>
      <c r="AI151" s="15">
        <v>16.0</v>
      </c>
      <c r="AJ151" s="15">
        <v>0.0</v>
      </c>
      <c r="AK151" s="21">
        <v>0.0</v>
      </c>
      <c r="AL151" s="22">
        <v>1.0</v>
      </c>
      <c r="AM151" s="15">
        <v>0.0</v>
      </c>
      <c r="AN151" s="15">
        <v>0.0</v>
      </c>
      <c r="AO151" s="23" t="s">
        <v>63</v>
      </c>
      <c r="AP151" s="23" t="s">
        <v>64</v>
      </c>
      <c r="AQ151" s="13" t="s">
        <v>93</v>
      </c>
      <c r="AR151" s="24" t="s">
        <v>66</v>
      </c>
      <c r="AS151" s="24"/>
      <c r="AT151" s="25" t="s">
        <v>547</v>
      </c>
      <c r="AU151" s="26" t="s">
        <v>68</v>
      </c>
      <c r="AV151" s="27"/>
      <c r="AW151" s="24" t="s">
        <v>79</v>
      </c>
      <c r="AX151" s="25" t="s">
        <v>548</v>
      </c>
      <c r="AY151" s="29" t="s">
        <v>70</v>
      </c>
      <c r="AZ151" s="32"/>
      <c r="BA151" s="25" t="s">
        <v>549</v>
      </c>
      <c r="BB151" s="26" t="s">
        <v>72</v>
      </c>
      <c r="BC151" s="60">
        <v>46051.0</v>
      </c>
      <c r="BD151" s="24" t="s">
        <v>112</v>
      </c>
      <c r="BE151" s="24"/>
      <c r="BF151" s="24"/>
      <c r="BG151" s="24"/>
      <c r="BH151" s="24" t="s">
        <v>149</v>
      </c>
    </row>
    <row r="152" ht="14.25" customHeight="1">
      <c r="A152" s="12" t="s">
        <v>550</v>
      </c>
      <c r="B152" s="12"/>
      <c r="C152" s="13"/>
      <c r="D152" s="14"/>
      <c r="E152" s="15"/>
      <c r="F152" s="15"/>
      <c r="G152" s="12"/>
      <c r="H152" s="16"/>
      <c r="I152" s="17">
        <v>0.7778</v>
      </c>
      <c r="J152" s="18" t="s">
        <v>551</v>
      </c>
      <c r="K152" s="18" t="s">
        <v>115</v>
      </c>
      <c r="L152" s="18" t="s">
        <v>60</v>
      </c>
      <c r="M152" s="18" t="s">
        <v>60</v>
      </c>
      <c r="N152" s="18"/>
      <c r="O152" s="18" t="s">
        <v>60</v>
      </c>
      <c r="P152" s="18" t="s">
        <v>60</v>
      </c>
      <c r="Q152" s="19" t="s">
        <v>60</v>
      </c>
      <c r="R152" s="15">
        <f t="shared" si="3"/>
        <v>0</v>
      </c>
      <c r="S152" s="15">
        <v>34.0</v>
      </c>
      <c r="T152" s="15">
        <v>24.0</v>
      </c>
      <c r="U152" s="20">
        <f t="shared" si="4"/>
        <v>0.7058823529</v>
      </c>
      <c r="V152" s="15">
        <f t="shared" si="5"/>
        <v>0</v>
      </c>
      <c r="W152" s="15">
        <v>24.0</v>
      </c>
      <c r="X152" s="20">
        <f t="shared" si="6"/>
        <v>0.7058823529</v>
      </c>
      <c r="Y152" s="15">
        <f t="shared" ref="Y152:Z152" si="308">AE152-W152</f>
        <v>0</v>
      </c>
      <c r="Z152" s="20">
        <f t="shared" si="308"/>
        <v>0</v>
      </c>
      <c r="AA152" s="15">
        <v>24.0</v>
      </c>
      <c r="AB152" s="20">
        <f t="shared" si="8"/>
        <v>0.7058823529</v>
      </c>
      <c r="AC152" s="15">
        <f t="shared" ref="AC152:AD152" si="309">AE152-AA152</f>
        <v>0</v>
      </c>
      <c r="AD152" s="20">
        <f t="shared" si="309"/>
        <v>0</v>
      </c>
      <c r="AE152" s="15">
        <v>24.0</v>
      </c>
      <c r="AF152" s="20">
        <f t="shared" si="10"/>
        <v>0.7058823529</v>
      </c>
      <c r="AG152" s="15">
        <v>24.0</v>
      </c>
      <c r="AH152" s="20">
        <f t="shared" si="11"/>
        <v>0.7058823529</v>
      </c>
      <c r="AI152" s="15">
        <v>24.0</v>
      </c>
      <c r="AJ152" s="15">
        <v>0.0</v>
      </c>
      <c r="AK152" s="21">
        <v>0.0</v>
      </c>
      <c r="AL152" s="22">
        <v>0.705882352941177</v>
      </c>
      <c r="AM152" s="15">
        <v>10.0</v>
      </c>
      <c r="AN152" s="15">
        <v>10.0</v>
      </c>
      <c r="AO152" s="23" t="s">
        <v>63</v>
      </c>
      <c r="AP152" s="23" t="s">
        <v>64</v>
      </c>
      <c r="AQ152" s="13" t="s">
        <v>93</v>
      </c>
      <c r="AR152" s="24" t="s">
        <v>66</v>
      </c>
      <c r="AS152" s="24"/>
      <c r="AT152" s="25" t="s">
        <v>552</v>
      </c>
      <c r="AU152" s="26" t="s">
        <v>386</v>
      </c>
      <c r="AV152" s="27"/>
      <c r="AW152" s="27"/>
      <c r="AX152" s="27"/>
      <c r="AY152" s="29" t="s">
        <v>250</v>
      </c>
      <c r="AZ152" s="122"/>
      <c r="BA152" s="28"/>
      <c r="BB152" s="26"/>
      <c r="BC152" s="27"/>
      <c r="BD152" s="24"/>
      <c r="BE152" s="24"/>
      <c r="BF152" s="27"/>
      <c r="BG152" s="27"/>
      <c r="BH152" s="27"/>
    </row>
    <row r="153" ht="14.25" customHeight="1">
      <c r="A153" s="12" t="s">
        <v>553</v>
      </c>
      <c r="B153" s="12"/>
      <c r="C153" s="13"/>
      <c r="D153" s="14"/>
      <c r="E153" s="15"/>
      <c r="F153" s="15"/>
      <c r="G153" s="12"/>
      <c r="H153" s="16"/>
      <c r="I153" s="17">
        <v>1.0</v>
      </c>
      <c r="J153" s="18" t="s">
        <v>114</v>
      </c>
      <c r="K153" s="18" t="s">
        <v>270</v>
      </c>
      <c r="L153" s="18" t="s">
        <v>60</v>
      </c>
      <c r="M153" s="18" t="s">
        <v>60</v>
      </c>
      <c r="N153" s="18"/>
      <c r="O153" s="18" t="s">
        <v>60</v>
      </c>
      <c r="P153" s="18" t="s">
        <v>60</v>
      </c>
      <c r="Q153" s="19" t="s">
        <v>60</v>
      </c>
      <c r="R153" s="15">
        <f t="shared" si="3"/>
        <v>0</v>
      </c>
      <c r="S153" s="15">
        <v>23.0</v>
      </c>
      <c r="T153" s="15">
        <v>23.0</v>
      </c>
      <c r="U153" s="20">
        <f t="shared" si="4"/>
        <v>1</v>
      </c>
      <c r="V153" s="15">
        <f t="shared" si="5"/>
        <v>0</v>
      </c>
      <c r="W153" s="15">
        <v>23.0</v>
      </c>
      <c r="X153" s="20">
        <f t="shared" si="6"/>
        <v>1</v>
      </c>
      <c r="Y153" s="15">
        <f t="shared" ref="Y153:Z153" si="310">AE153-W153</f>
        <v>0</v>
      </c>
      <c r="Z153" s="20">
        <f t="shared" si="310"/>
        <v>0</v>
      </c>
      <c r="AA153" s="15">
        <v>23.0</v>
      </c>
      <c r="AB153" s="20">
        <f t="shared" si="8"/>
        <v>1</v>
      </c>
      <c r="AC153" s="15">
        <f t="shared" ref="AC153:AD153" si="311">AE153-AA153</f>
        <v>0</v>
      </c>
      <c r="AD153" s="20">
        <f t="shared" si="311"/>
        <v>0</v>
      </c>
      <c r="AE153" s="15">
        <v>23.0</v>
      </c>
      <c r="AF153" s="20">
        <f t="shared" si="10"/>
        <v>1</v>
      </c>
      <c r="AG153" s="15">
        <v>23.0</v>
      </c>
      <c r="AH153" s="20">
        <f t="shared" si="11"/>
        <v>1</v>
      </c>
      <c r="AI153" s="15">
        <v>23.0</v>
      </c>
      <c r="AJ153" s="15">
        <v>0.0</v>
      </c>
      <c r="AK153" s="21">
        <v>0.0</v>
      </c>
      <c r="AL153" s="22">
        <v>1.0</v>
      </c>
      <c r="AM153" s="15">
        <v>0.0</v>
      </c>
      <c r="AN153" s="15">
        <v>0.0</v>
      </c>
      <c r="AO153" s="23" t="s">
        <v>63</v>
      </c>
      <c r="AP153" s="23" t="s">
        <v>64</v>
      </c>
      <c r="AQ153" s="13" t="s">
        <v>104</v>
      </c>
      <c r="AR153" s="24" t="s">
        <v>66</v>
      </c>
      <c r="AS153" s="24"/>
      <c r="AT153" s="25" t="s">
        <v>554</v>
      </c>
      <c r="AU153" s="26" t="s">
        <v>68</v>
      </c>
      <c r="AV153" s="27"/>
      <c r="AW153" s="24" t="s">
        <v>79</v>
      </c>
      <c r="AX153" s="28"/>
      <c r="AY153" s="29" t="s">
        <v>70</v>
      </c>
      <c r="AZ153" s="32"/>
      <c r="BA153" s="25" t="s">
        <v>555</v>
      </c>
      <c r="BB153" s="26" t="s">
        <v>72</v>
      </c>
      <c r="BC153" s="27"/>
      <c r="BD153" s="24" t="s">
        <v>112</v>
      </c>
      <c r="BE153" s="27"/>
      <c r="BF153" s="27"/>
      <c r="BG153" s="27"/>
      <c r="BH153" s="27"/>
    </row>
    <row r="154" ht="14.25" customHeight="1">
      <c r="A154" s="12" t="s">
        <v>556</v>
      </c>
      <c r="B154" s="12"/>
      <c r="C154" s="13"/>
      <c r="D154" s="14"/>
      <c r="E154" s="15"/>
      <c r="F154" s="15"/>
      <c r="G154" s="12"/>
      <c r="H154" s="16"/>
      <c r="I154" s="17">
        <v>0.7778</v>
      </c>
      <c r="J154" s="18" t="s">
        <v>557</v>
      </c>
      <c r="K154" s="18" t="s">
        <v>75</v>
      </c>
      <c r="L154" s="18" t="s">
        <v>76</v>
      </c>
      <c r="M154" s="18" t="s">
        <v>62</v>
      </c>
      <c r="N154" s="18"/>
      <c r="O154" s="18" t="s">
        <v>62</v>
      </c>
      <c r="P154" s="19" t="s">
        <v>62</v>
      </c>
      <c r="Q154" s="19" t="s">
        <v>62</v>
      </c>
      <c r="R154" s="15">
        <f t="shared" si="3"/>
        <v>0</v>
      </c>
      <c r="S154" s="15">
        <v>36.0</v>
      </c>
      <c r="T154" s="15">
        <v>27.0</v>
      </c>
      <c r="U154" s="20">
        <f t="shared" si="4"/>
        <v>0.75</v>
      </c>
      <c r="V154" s="15">
        <f t="shared" si="5"/>
        <v>1</v>
      </c>
      <c r="W154" s="15">
        <v>27.0</v>
      </c>
      <c r="X154" s="20">
        <f t="shared" si="6"/>
        <v>0.75</v>
      </c>
      <c r="Y154" s="15">
        <f t="shared" ref="Y154:Z154" si="312">AE154-W154</f>
        <v>2</v>
      </c>
      <c r="Z154" s="20">
        <f t="shared" si="312"/>
        <v>0.05555555556</v>
      </c>
      <c r="AA154" s="15">
        <v>27.0</v>
      </c>
      <c r="AB154" s="20">
        <f t="shared" si="8"/>
        <v>0.75</v>
      </c>
      <c r="AC154" s="15">
        <f t="shared" ref="AC154:AD154" si="313">AE154-AA154</f>
        <v>2</v>
      </c>
      <c r="AD154" s="20">
        <f t="shared" si="313"/>
        <v>0.05555555556</v>
      </c>
      <c r="AE154" s="15">
        <v>29.0</v>
      </c>
      <c r="AF154" s="20">
        <f t="shared" si="10"/>
        <v>0.8055555556</v>
      </c>
      <c r="AG154" s="15">
        <v>29.0</v>
      </c>
      <c r="AH154" s="20">
        <f t="shared" si="11"/>
        <v>0.8055555556</v>
      </c>
      <c r="AI154" s="15">
        <v>28.0</v>
      </c>
      <c r="AJ154" s="15">
        <v>1.0</v>
      </c>
      <c r="AK154" s="21">
        <v>0.0</v>
      </c>
      <c r="AL154" s="22">
        <v>0.805555555555556</v>
      </c>
      <c r="AM154" s="15">
        <v>7.0</v>
      </c>
      <c r="AN154" s="15">
        <v>7.0</v>
      </c>
      <c r="AO154" s="23" t="s">
        <v>64</v>
      </c>
      <c r="AP154" s="23" t="s">
        <v>64</v>
      </c>
      <c r="AQ154" s="13" t="s">
        <v>108</v>
      </c>
      <c r="AR154" s="24" t="s">
        <v>66</v>
      </c>
      <c r="AS154" s="24"/>
      <c r="AT154" s="25" t="s">
        <v>558</v>
      </c>
      <c r="AU154" s="26" t="s">
        <v>88</v>
      </c>
      <c r="AV154" s="27"/>
      <c r="AW154" s="24" t="s">
        <v>69</v>
      </c>
      <c r="AX154" s="28"/>
      <c r="AY154" s="29" t="s">
        <v>110</v>
      </c>
      <c r="AZ154" s="30"/>
      <c r="BA154" s="25" t="s">
        <v>559</v>
      </c>
      <c r="BB154" s="26" t="s">
        <v>72</v>
      </c>
      <c r="BC154" s="27"/>
      <c r="BD154" s="24" t="s">
        <v>73</v>
      </c>
      <c r="BE154" s="27"/>
      <c r="BF154" s="27"/>
      <c r="BG154" s="27"/>
      <c r="BH154" s="27"/>
    </row>
    <row r="155" ht="14.25" customHeight="1">
      <c r="A155" s="73" t="s">
        <v>560</v>
      </c>
      <c r="B155" s="73"/>
      <c r="C155" s="74"/>
      <c r="D155" s="75"/>
      <c r="E155" s="76"/>
      <c r="F155" s="79"/>
      <c r="G155" s="118"/>
      <c r="H155" s="79"/>
      <c r="I155" s="78">
        <v>0.3</v>
      </c>
      <c r="J155" s="79"/>
      <c r="K155" s="79" t="s">
        <v>248</v>
      </c>
      <c r="L155" s="79" t="s">
        <v>62</v>
      </c>
      <c r="M155" s="79" t="s">
        <v>62</v>
      </c>
      <c r="N155" s="79" t="s">
        <v>62</v>
      </c>
      <c r="O155" s="79" t="s">
        <v>86</v>
      </c>
      <c r="P155" s="79" t="s">
        <v>129</v>
      </c>
      <c r="Q155" s="80" t="s">
        <v>60</v>
      </c>
      <c r="R155" s="76">
        <f t="shared" si="3"/>
        <v>0</v>
      </c>
      <c r="S155" s="76">
        <v>57.0</v>
      </c>
      <c r="T155" s="76">
        <v>16.0</v>
      </c>
      <c r="U155" s="20">
        <f t="shared" si="4"/>
        <v>0.2807017544</v>
      </c>
      <c r="V155" s="15">
        <f t="shared" si="5"/>
        <v>26</v>
      </c>
      <c r="W155" s="76">
        <v>16.0</v>
      </c>
      <c r="X155" s="81">
        <f t="shared" si="6"/>
        <v>0.2807017544</v>
      </c>
      <c r="Y155" s="76">
        <f t="shared" ref="Y155:Z155" si="314">AE155-W155</f>
        <v>5</v>
      </c>
      <c r="Z155" s="81">
        <f t="shared" si="314"/>
        <v>0.08771929825</v>
      </c>
      <c r="AA155" s="76">
        <v>21.0</v>
      </c>
      <c r="AB155" s="81">
        <f t="shared" si="8"/>
        <v>0.3684210526</v>
      </c>
      <c r="AC155" s="76">
        <f t="shared" ref="AC155:AD155" si="315">AE155-AA155</f>
        <v>0</v>
      </c>
      <c r="AD155" s="81">
        <f t="shared" si="315"/>
        <v>0</v>
      </c>
      <c r="AE155" s="76">
        <v>21.0</v>
      </c>
      <c r="AF155" s="81">
        <f t="shared" si="10"/>
        <v>0.3684210526</v>
      </c>
      <c r="AG155" s="76">
        <v>21.0</v>
      </c>
      <c r="AH155" s="81">
        <f t="shared" si="11"/>
        <v>0.3684210526</v>
      </c>
      <c r="AI155" s="76">
        <v>42.0</v>
      </c>
      <c r="AJ155" s="76">
        <v>7.0</v>
      </c>
      <c r="AK155" s="82">
        <v>1.0</v>
      </c>
      <c r="AL155" s="83">
        <v>0.87719298245614</v>
      </c>
      <c r="AM155" s="76">
        <v>14.0</v>
      </c>
      <c r="AN155" s="76">
        <v>6.0</v>
      </c>
      <c r="AO155" s="84" t="s">
        <v>64</v>
      </c>
      <c r="AP155" s="84" t="s">
        <v>64</v>
      </c>
      <c r="AQ155" s="85" t="s">
        <v>93</v>
      </c>
      <c r="AR155" s="86" t="s">
        <v>66</v>
      </c>
      <c r="AS155" s="86"/>
      <c r="AT155" s="87" t="s">
        <v>561</v>
      </c>
      <c r="AU155" s="88" t="s">
        <v>68</v>
      </c>
      <c r="AV155" s="89"/>
      <c r="AW155" s="86" t="s">
        <v>79</v>
      </c>
      <c r="AX155" s="90"/>
      <c r="AY155" s="91" t="s">
        <v>260</v>
      </c>
      <c r="AZ155" s="24"/>
      <c r="BA155" s="92" t="s">
        <v>562</v>
      </c>
      <c r="BB155" s="88" t="s">
        <v>262</v>
      </c>
      <c r="BC155" s="93"/>
      <c r="BD155" s="94" t="s">
        <v>91</v>
      </c>
      <c r="BE155" s="94"/>
      <c r="BF155" s="90"/>
      <c r="BG155" s="93"/>
      <c r="BH155" s="93"/>
    </row>
    <row r="156" ht="14.25" customHeight="1">
      <c r="A156" s="12" t="s">
        <v>563</v>
      </c>
      <c r="B156" s="12"/>
      <c r="C156" s="13"/>
      <c r="D156" s="14"/>
      <c r="E156" s="15"/>
      <c r="F156" s="15"/>
      <c r="G156" s="12"/>
      <c r="H156" s="16"/>
      <c r="I156" s="17">
        <v>0.0794</v>
      </c>
      <c r="J156" s="18"/>
      <c r="K156" s="18"/>
      <c r="L156" s="18" t="s">
        <v>129</v>
      </c>
      <c r="M156" s="18" t="s">
        <v>202</v>
      </c>
      <c r="N156" s="18"/>
      <c r="O156" s="18" t="s">
        <v>62</v>
      </c>
      <c r="P156" s="18" t="s">
        <v>62</v>
      </c>
      <c r="Q156" s="18" t="s">
        <v>62</v>
      </c>
      <c r="R156" s="15">
        <f t="shared" si="3"/>
        <v>0</v>
      </c>
      <c r="S156" s="15">
        <v>98.0</v>
      </c>
      <c r="T156" s="15">
        <v>1.0</v>
      </c>
      <c r="U156" s="20">
        <f t="shared" si="4"/>
        <v>0.01020408163</v>
      </c>
      <c r="V156" s="15">
        <f t="shared" si="5"/>
        <v>41</v>
      </c>
      <c r="W156" s="15">
        <v>16.0</v>
      </c>
      <c r="X156" s="20">
        <f t="shared" si="6"/>
        <v>0.1632653061</v>
      </c>
      <c r="Y156" s="15">
        <f t="shared" ref="Y156:Z156" si="316">AE156-W156</f>
        <v>1</v>
      </c>
      <c r="Z156" s="20">
        <f t="shared" si="316"/>
        <v>0.01020408163</v>
      </c>
      <c r="AA156" s="15">
        <v>16.0</v>
      </c>
      <c r="AB156" s="20">
        <f t="shared" si="8"/>
        <v>0.1632653061</v>
      </c>
      <c r="AC156" s="15">
        <f t="shared" ref="AC156:AD156" si="317">AE156-AA156</f>
        <v>1</v>
      </c>
      <c r="AD156" s="20">
        <f t="shared" si="317"/>
        <v>0.01020408163</v>
      </c>
      <c r="AE156" s="15">
        <v>17.0</v>
      </c>
      <c r="AF156" s="20">
        <f t="shared" si="10"/>
        <v>0.1734693878</v>
      </c>
      <c r="AG156" s="15">
        <v>17.0</v>
      </c>
      <c r="AH156" s="20">
        <f t="shared" si="11"/>
        <v>0.1734693878</v>
      </c>
      <c r="AI156" s="15">
        <v>42.0</v>
      </c>
      <c r="AJ156" s="15">
        <v>0.0</v>
      </c>
      <c r="AK156" s="21">
        <v>0.0</v>
      </c>
      <c r="AL156" s="22">
        <v>0.428571428571429</v>
      </c>
      <c r="AM156" s="15">
        <v>50.0</v>
      </c>
      <c r="AN156" s="15">
        <v>56.0</v>
      </c>
      <c r="AO156" s="23" t="s">
        <v>64</v>
      </c>
      <c r="AP156" s="23" t="s">
        <v>64</v>
      </c>
      <c r="AQ156" s="13" t="s">
        <v>65</v>
      </c>
      <c r="AR156" s="24" t="s">
        <v>130</v>
      </c>
      <c r="AS156" s="24"/>
      <c r="AT156" s="25" t="s">
        <v>564</v>
      </c>
      <c r="AU156" s="26" t="s">
        <v>407</v>
      </c>
      <c r="AV156" s="27"/>
      <c r="AW156" s="24" t="s">
        <v>133</v>
      </c>
      <c r="AX156" s="25" t="s">
        <v>565</v>
      </c>
      <c r="AY156" s="29" t="s">
        <v>110</v>
      </c>
      <c r="AZ156" s="121"/>
      <c r="BA156" s="127"/>
      <c r="BB156" s="26" t="s">
        <v>297</v>
      </c>
      <c r="BC156" s="128"/>
      <c r="BD156" s="24"/>
      <c r="BE156" s="128"/>
      <c r="BF156" s="128"/>
      <c r="BG156" s="129">
        <v>6.8950441E7</v>
      </c>
      <c r="BH156" s="24" t="s">
        <v>566</v>
      </c>
    </row>
    <row r="157" ht="14.25" customHeight="1">
      <c r="A157" s="12" t="s">
        <v>567</v>
      </c>
      <c r="B157" s="12"/>
      <c r="C157" s="13"/>
      <c r="D157" s="14"/>
      <c r="E157" s="15"/>
      <c r="F157" s="15"/>
      <c r="G157" s="12"/>
      <c r="H157" s="16"/>
      <c r="I157" s="17">
        <v>1.0</v>
      </c>
      <c r="J157" s="18"/>
      <c r="K157" s="18" t="s">
        <v>568</v>
      </c>
      <c r="L157" s="18" t="s">
        <v>569</v>
      </c>
      <c r="M157" s="18" t="s">
        <v>60</v>
      </c>
      <c r="N157" s="18"/>
      <c r="O157" s="18" t="s">
        <v>60</v>
      </c>
      <c r="P157" s="18" t="s">
        <v>60</v>
      </c>
      <c r="Q157" s="19" t="s">
        <v>60</v>
      </c>
      <c r="R157" s="15">
        <f t="shared" si="3"/>
        <v>0</v>
      </c>
      <c r="S157" s="15">
        <v>26.0</v>
      </c>
      <c r="T157" s="15">
        <v>26.0</v>
      </c>
      <c r="U157" s="20">
        <f t="shared" si="4"/>
        <v>1</v>
      </c>
      <c r="V157" s="15">
        <f t="shared" si="5"/>
        <v>0</v>
      </c>
      <c r="W157" s="15">
        <v>26.0</v>
      </c>
      <c r="X157" s="20">
        <f t="shared" si="6"/>
        <v>1</v>
      </c>
      <c r="Y157" s="15">
        <f t="shared" ref="Y157:Z157" si="318">AE157-W157</f>
        <v>0</v>
      </c>
      <c r="Z157" s="20">
        <f t="shared" si="318"/>
        <v>0</v>
      </c>
      <c r="AA157" s="15">
        <v>26.0</v>
      </c>
      <c r="AB157" s="20">
        <f t="shared" si="8"/>
        <v>1</v>
      </c>
      <c r="AC157" s="15">
        <f t="shared" ref="AC157:AD157" si="319">AE157-AA157</f>
        <v>0</v>
      </c>
      <c r="AD157" s="20">
        <f t="shared" si="319"/>
        <v>0</v>
      </c>
      <c r="AE157" s="15">
        <v>26.0</v>
      </c>
      <c r="AF157" s="20">
        <f t="shared" si="10"/>
        <v>1</v>
      </c>
      <c r="AG157" s="15">
        <v>26.0</v>
      </c>
      <c r="AH157" s="20">
        <f t="shared" si="11"/>
        <v>1</v>
      </c>
      <c r="AI157" s="15">
        <v>26.0</v>
      </c>
      <c r="AJ157" s="15">
        <v>0.0</v>
      </c>
      <c r="AK157" s="21">
        <v>0.0</v>
      </c>
      <c r="AL157" s="22">
        <v>1.0</v>
      </c>
      <c r="AM157" s="15">
        <v>0.0</v>
      </c>
      <c r="AN157" s="15">
        <v>0.0</v>
      </c>
      <c r="AO157" s="23" t="s">
        <v>64</v>
      </c>
      <c r="AP157" s="23" t="s">
        <v>64</v>
      </c>
      <c r="AQ157" s="13" t="s">
        <v>77</v>
      </c>
      <c r="AR157" s="24" t="s">
        <v>66</v>
      </c>
      <c r="AS157" s="24"/>
      <c r="AT157" s="25" t="s">
        <v>570</v>
      </c>
      <c r="AU157" s="26" t="s">
        <v>68</v>
      </c>
      <c r="AV157" s="27"/>
      <c r="AW157" s="24" t="s">
        <v>100</v>
      </c>
      <c r="AX157" s="28"/>
      <c r="AY157" s="29" t="s">
        <v>70</v>
      </c>
      <c r="AZ157" s="32"/>
      <c r="BA157" s="25" t="s">
        <v>571</v>
      </c>
      <c r="BB157" s="26" t="s">
        <v>72</v>
      </c>
      <c r="BC157" s="27"/>
      <c r="BD157" s="24" t="s">
        <v>73</v>
      </c>
      <c r="BE157" s="27"/>
      <c r="BF157" s="27"/>
      <c r="BG157" s="27"/>
      <c r="BH157" s="27"/>
    </row>
    <row r="158" ht="14.25" customHeight="1">
      <c r="A158" s="119" t="s">
        <v>572</v>
      </c>
      <c r="B158" s="119"/>
      <c r="C158" s="120"/>
      <c r="D158" s="14"/>
      <c r="E158" s="15"/>
      <c r="F158" s="15"/>
      <c r="G158" s="12"/>
      <c r="H158" s="16"/>
      <c r="I158" s="17">
        <v>0.0233</v>
      </c>
      <c r="J158" s="18"/>
      <c r="K158" s="18" t="s">
        <v>84</v>
      </c>
      <c r="L158" s="18" t="s">
        <v>62</v>
      </c>
      <c r="M158" s="18" t="s">
        <v>264</v>
      </c>
      <c r="N158" s="18"/>
      <c r="O158" s="18" t="s">
        <v>84</v>
      </c>
      <c r="P158" s="18" t="s">
        <v>84</v>
      </c>
      <c r="Q158" s="18" t="s">
        <v>84</v>
      </c>
      <c r="R158" s="15">
        <f t="shared" si="3"/>
        <v>0</v>
      </c>
      <c r="S158" s="15">
        <v>39.0</v>
      </c>
      <c r="T158" s="15">
        <v>0.0</v>
      </c>
      <c r="U158" s="20">
        <f t="shared" si="4"/>
        <v>0</v>
      </c>
      <c r="V158" s="15">
        <f t="shared" si="5"/>
        <v>5</v>
      </c>
      <c r="W158" s="15">
        <v>0.0</v>
      </c>
      <c r="X158" s="20">
        <f t="shared" si="6"/>
        <v>0</v>
      </c>
      <c r="Y158" s="15">
        <f t="shared" ref="Y158:Z158" si="320">AE158-W158</f>
        <v>5</v>
      </c>
      <c r="Z158" s="20">
        <f t="shared" si="320"/>
        <v>0.1282051282</v>
      </c>
      <c r="AA158" s="15">
        <v>0.0</v>
      </c>
      <c r="AB158" s="20">
        <f t="shared" si="8"/>
        <v>0</v>
      </c>
      <c r="AC158" s="15">
        <f t="shared" ref="AC158:AD158" si="321">AE158-AA158</f>
        <v>5</v>
      </c>
      <c r="AD158" s="20">
        <f t="shared" si="321"/>
        <v>0.1282051282</v>
      </c>
      <c r="AE158" s="15">
        <v>5.0</v>
      </c>
      <c r="AF158" s="20">
        <f t="shared" si="10"/>
        <v>0.1282051282</v>
      </c>
      <c r="AG158" s="15">
        <v>5.0</v>
      </c>
      <c r="AH158" s="20">
        <f t="shared" si="11"/>
        <v>0.1282051282</v>
      </c>
      <c r="AI158" s="15">
        <v>5.0</v>
      </c>
      <c r="AJ158" s="15">
        <v>0.0</v>
      </c>
      <c r="AK158" s="21">
        <v>0.0</v>
      </c>
      <c r="AL158" s="22">
        <v>0.128205128205128</v>
      </c>
      <c r="AM158" s="15">
        <v>34.0</v>
      </c>
      <c r="AN158" s="15">
        <v>34.0</v>
      </c>
      <c r="AO158" s="23" t="s">
        <v>64</v>
      </c>
      <c r="AP158" s="23" t="s">
        <v>64</v>
      </c>
      <c r="AQ158" s="13" t="s">
        <v>108</v>
      </c>
      <c r="AR158" s="24" t="s">
        <v>66</v>
      </c>
      <c r="AS158" s="24"/>
      <c r="AT158" s="25" t="s">
        <v>573</v>
      </c>
      <c r="AU158" s="26" t="s">
        <v>68</v>
      </c>
      <c r="AV158" s="27"/>
      <c r="AW158" s="24" t="s">
        <v>69</v>
      </c>
      <c r="AX158" s="28"/>
      <c r="AY158" s="29" t="s">
        <v>89</v>
      </c>
      <c r="AZ158" s="29"/>
      <c r="BA158" s="28"/>
      <c r="BB158" s="26" t="s">
        <v>90</v>
      </c>
      <c r="BC158" s="27"/>
      <c r="BD158" s="34" t="s">
        <v>91</v>
      </c>
      <c r="BE158" s="34"/>
      <c r="BF158" s="27"/>
      <c r="BG158" s="27"/>
      <c r="BH158" s="27"/>
    </row>
    <row r="159" ht="14.25" customHeight="1">
      <c r="A159" s="12" t="s">
        <v>574</v>
      </c>
      <c r="B159" s="12"/>
      <c r="C159" s="13"/>
      <c r="D159" s="14"/>
      <c r="E159" s="15"/>
      <c r="F159" s="15"/>
      <c r="G159" s="12"/>
      <c r="H159" s="16"/>
      <c r="I159" s="17">
        <v>0.1518</v>
      </c>
      <c r="J159" s="18"/>
      <c r="K159" s="18" t="s">
        <v>62</v>
      </c>
      <c r="L159" s="18" t="s">
        <v>62</v>
      </c>
      <c r="M159" s="18" t="s">
        <v>264</v>
      </c>
      <c r="N159" s="18"/>
      <c r="O159" s="18" t="s">
        <v>84</v>
      </c>
      <c r="P159" s="18" t="s">
        <v>84</v>
      </c>
      <c r="Q159" s="18" t="s">
        <v>84</v>
      </c>
      <c r="R159" s="15">
        <f t="shared" si="3"/>
        <v>0</v>
      </c>
      <c r="S159" s="15">
        <v>60.0</v>
      </c>
      <c r="T159" s="15">
        <v>0.0</v>
      </c>
      <c r="U159" s="20">
        <f t="shared" si="4"/>
        <v>0</v>
      </c>
      <c r="V159" s="15">
        <f t="shared" si="5"/>
        <v>31</v>
      </c>
      <c r="W159" s="15">
        <v>0.0</v>
      </c>
      <c r="X159" s="20">
        <f t="shared" si="6"/>
        <v>0</v>
      </c>
      <c r="Y159" s="15">
        <f t="shared" ref="Y159:Z159" si="322">AE159-W159</f>
        <v>14</v>
      </c>
      <c r="Z159" s="20">
        <f t="shared" si="322"/>
        <v>0.2333333333</v>
      </c>
      <c r="AA159" s="15">
        <v>0.0</v>
      </c>
      <c r="AB159" s="20">
        <f t="shared" si="8"/>
        <v>0</v>
      </c>
      <c r="AC159" s="15">
        <f t="shared" ref="AC159:AD159" si="323">AE159-AA159</f>
        <v>14</v>
      </c>
      <c r="AD159" s="20">
        <f t="shared" si="323"/>
        <v>0.2333333333</v>
      </c>
      <c r="AE159" s="15">
        <v>14.0</v>
      </c>
      <c r="AF159" s="20">
        <f t="shared" si="10"/>
        <v>0.2333333333</v>
      </c>
      <c r="AG159" s="15">
        <v>14.0</v>
      </c>
      <c r="AH159" s="20">
        <f t="shared" si="11"/>
        <v>0.2333333333</v>
      </c>
      <c r="AI159" s="15">
        <v>31.0</v>
      </c>
      <c r="AJ159" s="15">
        <v>0.0</v>
      </c>
      <c r="AK159" s="21">
        <v>0.0</v>
      </c>
      <c r="AL159" s="22">
        <v>0.516666666666667</v>
      </c>
      <c r="AM159" s="15">
        <v>0.0</v>
      </c>
      <c r="AN159" s="15">
        <v>29.0</v>
      </c>
      <c r="AO159" s="23" t="s">
        <v>64</v>
      </c>
      <c r="AP159" s="23" t="s">
        <v>64</v>
      </c>
      <c r="AQ159" s="13" t="s">
        <v>93</v>
      </c>
      <c r="AR159" s="24" t="s">
        <v>130</v>
      </c>
      <c r="AS159" s="24"/>
      <c r="AT159" s="25" t="s">
        <v>575</v>
      </c>
      <c r="AU159" s="26" t="s">
        <v>68</v>
      </c>
      <c r="AV159" s="27"/>
      <c r="AW159" s="24" t="s">
        <v>69</v>
      </c>
      <c r="AX159" s="27"/>
      <c r="AY159" s="29" t="s">
        <v>412</v>
      </c>
      <c r="AZ159" s="32"/>
      <c r="BA159" s="25" t="s">
        <v>576</v>
      </c>
      <c r="BB159" s="26" t="s">
        <v>118</v>
      </c>
      <c r="BC159" s="27"/>
      <c r="BD159" s="34" t="s">
        <v>91</v>
      </c>
      <c r="BE159" s="130">
        <v>46148.0</v>
      </c>
      <c r="BF159" s="27"/>
      <c r="BG159" s="27"/>
      <c r="BH159" s="27"/>
    </row>
    <row r="160" ht="14.25" customHeight="1">
      <c r="A160" s="12" t="s">
        <v>577</v>
      </c>
      <c r="B160" s="12"/>
      <c r="C160" s="13"/>
      <c r="D160" s="14"/>
      <c r="E160" s="15"/>
      <c r="F160" s="19"/>
      <c r="G160" s="39"/>
      <c r="H160" s="18"/>
      <c r="I160" s="17">
        <v>0.0694</v>
      </c>
      <c r="J160" s="18"/>
      <c r="K160" s="18" t="s">
        <v>62</v>
      </c>
      <c r="L160" s="18" t="s">
        <v>62</v>
      </c>
      <c r="M160" s="18" t="s">
        <v>62</v>
      </c>
      <c r="N160" s="18"/>
      <c r="O160" s="18" t="s">
        <v>60</v>
      </c>
      <c r="P160" s="18" t="s">
        <v>60</v>
      </c>
      <c r="Q160" s="19" t="s">
        <v>60</v>
      </c>
      <c r="R160" s="15">
        <f t="shared" si="3"/>
        <v>0</v>
      </c>
      <c r="S160" s="15">
        <v>62.0</v>
      </c>
      <c r="T160" s="15">
        <v>5.0</v>
      </c>
      <c r="U160" s="20">
        <f t="shared" si="4"/>
        <v>0.08064516129</v>
      </c>
      <c r="V160" s="15">
        <f t="shared" si="5"/>
        <v>25</v>
      </c>
      <c r="W160" s="15">
        <v>11.0</v>
      </c>
      <c r="X160" s="20">
        <f t="shared" si="6"/>
        <v>0.1774193548</v>
      </c>
      <c r="Y160" s="15">
        <f t="shared" ref="Y160:Z160" si="324">AE160-W160</f>
        <v>0</v>
      </c>
      <c r="Z160" s="20">
        <f t="shared" si="324"/>
        <v>0</v>
      </c>
      <c r="AA160" s="15">
        <v>11.0</v>
      </c>
      <c r="AB160" s="20">
        <f t="shared" si="8"/>
        <v>0.1774193548</v>
      </c>
      <c r="AC160" s="15">
        <f t="shared" ref="AC160:AD160" si="325">AE160-AA160</f>
        <v>0</v>
      </c>
      <c r="AD160" s="20">
        <f t="shared" si="325"/>
        <v>0</v>
      </c>
      <c r="AE160" s="15">
        <v>11.0</v>
      </c>
      <c r="AF160" s="20">
        <f t="shared" si="10"/>
        <v>0.1774193548</v>
      </c>
      <c r="AG160" s="15">
        <v>11.0</v>
      </c>
      <c r="AH160" s="20">
        <f t="shared" si="11"/>
        <v>0.1774193548</v>
      </c>
      <c r="AI160" s="15">
        <v>30.0</v>
      </c>
      <c r="AJ160" s="15">
        <v>0.0</v>
      </c>
      <c r="AK160" s="21">
        <v>0.0</v>
      </c>
      <c r="AL160" s="22">
        <v>0.483870967741935</v>
      </c>
      <c r="AM160" s="15">
        <v>10.0</v>
      </c>
      <c r="AN160" s="15">
        <v>32.0</v>
      </c>
      <c r="AO160" s="23" t="s">
        <v>64</v>
      </c>
      <c r="AP160" s="23" t="s">
        <v>64</v>
      </c>
      <c r="AQ160" s="13" t="s">
        <v>65</v>
      </c>
      <c r="AR160" s="24" t="s">
        <v>130</v>
      </c>
      <c r="AS160" s="24"/>
      <c r="AT160" s="25" t="s">
        <v>578</v>
      </c>
      <c r="AU160" s="26" t="s">
        <v>68</v>
      </c>
      <c r="AV160" s="36"/>
      <c r="AW160" s="24" t="s">
        <v>79</v>
      </c>
      <c r="AX160" s="28"/>
      <c r="AY160" s="29" t="s">
        <v>70</v>
      </c>
      <c r="AZ160" s="30"/>
      <c r="BA160" s="25" t="s">
        <v>579</v>
      </c>
      <c r="BB160" s="26" t="s">
        <v>72</v>
      </c>
      <c r="BC160" s="27"/>
      <c r="BD160" s="24" t="s">
        <v>112</v>
      </c>
      <c r="BE160" s="27"/>
      <c r="BF160" s="27"/>
      <c r="BG160" s="27"/>
      <c r="BH160" s="27"/>
    </row>
    <row r="161" ht="14.25" customHeight="1">
      <c r="A161" s="12" t="s">
        <v>580</v>
      </c>
      <c r="B161" s="12"/>
      <c r="C161" s="13"/>
      <c r="D161" s="14"/>
      <c r="E161" s="15"/>
      <c r="F161" s="15"/>
      <c r="G161" s="12"/>
      <c r="H161" s="16"/>
      <c r="I161" s="17">
        <v>0.0</v>
      </c>
      <c r="J161" s="18"/>
      <c r="K161" s="18"/>
      <c r="L161" s="18" t="s">
        <v>84</v>
      </c>
      <c r="M161" s="18" t="s">
        <v>84</v>
      </c>
      <c r="N161" s="18"/>
      <c r="O161" s="18" t="s">
        <v>84</v>
      </c>
      <c r="P161" s="18" t="s">
        <v>60</v>
      </c>
      <c r="Q161" s="19" t="s">
        <v>60</v>
      </c>
      <c r="R161" s="15">
        <f t="shared" si="3"/>
        <v>0</v>
      </c>
      <c r="S161" s="15">
        <v>95.0</v>
      </c>
      <c r="T161" s="15">
        <v>0.0</v>
      </c>
      <c r="U161" s="20">
        <f t="shared" si="4"/>
        <v>0</v>
      </c>
      <c r="V161" s="15">
        <f t="shared" si="5"/>
        <v>54</v>
      </c>
      <c r="W161" s="15">
        <v>0.0</v>
      </c>
      <c r="X161" s="20">
        <f t="shared" si="6"/>
        <v>0</v>
      </c>
      <c r="Y161" s="15">
        <f t="shared" ref="Y161:Z161" si="326">AE161-W161</f>
        <v>54</v>
      </c>
      <c r="Z161" s="20">
        <f t="shared" si="326"/>
        <v>0.5684210526</v>
      </c>
      <c r="AA161" s="15">
        <v>54.0</v>
      </c>
      <c r="AB161" s="20">
        <f t="shared" si="8"/>
        <v>0.5684210526</v>
      </c>
      <c r="AC161" s="15">
        <f t="shared" ref="AC161:AD161" si="327">AE161-AA161</f>
        <v>0</v>
      </c>
      <c r="AD161" s="20">
        <f t="shared" si="327"/>
        <v>0</v>
      </c>
      <c r="AE161" s="15">
        <v>54.0</v>
      </c>
      <c r="AF161" s="20">
        <f t="shared" si="10"/>
        <v>0.5684210526</v>
      </c>
      <c r="AG161" s="15">
        <v>54.0</v>
      </c>
      <c r="AH161" s="20">
        <f t="shared" si="11"/>
        <v>0.5684210526</v>
      </c>
      <c r="AI161" s="15">
        <v>54.0</v>
      </c>
      <c r="AJ161" s="15">
        <v>0.0</v>
      </c>
      <c r="AK161" s="21">
        <v>0.0</v>
      </c>
      <c r="AL161" s="22">
        <v>0.568421052631579</v>
      </c>
      <c r="AM161" s="15">
        <v>22.0</v>
      </c>
      <c r="AN161" s="15">
        <v>41.0</v>
      </c>
      <c r="AO161" s="23" t="s">
        <v>64</v>
      </c>
      <c r="AP161" s="23" t="s">
        <v>64</v>
      </c>
      <c r="AQ161" s="13" t="s">
        <v>93</v>
      </c>
      <c r="AR161" s="24" t="s">
        <v>130</v>
      </c>
      <c r="AS161" s="24"/>
      <c r="AT161" s="25" t="s">
        <v>581</v>
      </c>
      <c r="AU161" s="26" t="s">
        <v>68</v>
      </c>
      <c r="AV161" s="36"/>
      <c r="AW161" s="24" t="s">
        <v>79</v>
      </c>
      <c r="AX161" s="28"/>
      <c r="AY161" s="29" t="s">
        <v>89</v>
      </c>
      <c r="AZ161" s="29"/>
      <c r="BA161" s="28"/>
      <c r="BB161" s="26" t="s">
        <v>90</v>
      </c>
      <c r="BC161" s="27"/>
      <c r="BD161" s="34" t="s">
        <v>91</v>
      </c>
      <c r="BE161" s="34"/>
      <c r="BF161" s="27"/>
      <c r="BG161" s="27"/>
      <c r="BH161" s="27"/>
    </row>
    <row r="162" ht="14.25" customHeight="1">
      <c r="A162" s="12" t="s">
        <v>582</v>
      </c>
      <c r="B162" s="12"/>
      <c r="C162" s="13"/>
      <c r="D162" s="14"/>
      <c r="E162" s="15"/>
      <c r="F162" s="15"/>
      <c r="G162" s="12"/>
      <c r="H162" s="16"/>
      <c r="I162" s="17">
        <v>0.0</v>
      </c>
      <c r="J162" s="18"/>
      <c r="K162" s="18"/>
      <c r="L162" s="18" t="s">
        <v>84</v>
      </c>
      <c r="M162" s="18" t="s">
        <v>84</v>
      </c>
      <c r="N162" s="18"/>
      <c r="O162" s="18" t="s">
        <v>60</v>
      </c>
      <c r="P162" s="18" t="s">
        <v>60</v>
      </c>
      <c r="Q162" s="19" t="s">
        <v>60</v>
      </c>
      <c r="R162" s="15">
        <f t="shared" si="3"/>
        <v>0</v>
      </c>
      <c r="S162" s="15">
        <v>85.0</v>
      </c>
      <c r="T162" s="15">
        <v>0.0</v>
      </c>
      <c r="U162" s="20">
        <f t="shared" si="4"/>
        <v>0</v>
      </c>
      <c r="V162" s="15">
        <f t="shared" si="5"/>
        <v>46</v>
      </c>
      <c r="W162" s="15">
        <v>22.0</v>
      </c>
      <c r="X162" s="20">
        <f t="shared" si="6"/>
        <v>0.2588235294</v>
      </c>
      <c r="Y162" s="15">
        <f t="shared" ref="Y162:Z162" si="328">AE162-W162</f>
        <v>0</v>
      </c>
      <c r="Z162" s="20">
        <f t="shared" si="328"/>
        <v>0</v>
      </c>
      <c r="AA162" s="15">
        <v>22.0</v>
      </c>
      <c r="AB162" s="20">
        <f t="shared" si="8"/>
        <v>0.2588235294</v>
      </c>
      <c r="AC162" s="15">
        <f t="shared" ref="AC162:AD162" si="329">AE162-AA162</f>
        <v>0</v>
      </c>
      <c r="AD162" s="20">
        <f t="shared" si="329"/>
        <v>0</v>
      </c>
      <c r="AE162" s="15">
        <v>22.0</v>
      </c>
      <c r="AF162" s="20">
        <f t="shared" si="10"/>
        <v>0.2588235294</v>
      </c>
      <c r="AG162" s="15">
        <v>22.0</v>
      </c>
      <c r="AH162" s="20">
        <f t="shared" si="11"/>
        <v>0.2588235294</v>
      </c>
      <c r="AI162" s="15">
        <v>46.0</v>
      </c>
      <c r="AJ162" s="15">
        <v>0.0</v>
      </c>
      <c r="AK162" s="21">
        <v>2.0</v>
      </c>
      <c r="AL162" s="22">
        <v>0.564705882352941</v>
      </c>
      <c r="AM162" s="15">
        <v>37.0</v>
      </c>
      <c r="AN162" s="15">
        <v>35.0</v>
      </c>
      <c r="AO162" s="23" t="s">
        <v>64</v>
      </c>
      <c r="AP162" s="23" t="s">
        <v>64</v>
      </c>
      <c r="AQ162" s="13" t="s">
        <v>77</v>
      </c>
      <c r="AR162" s="24" t="s">
        <v>66</v>
      </c>
      <c r="AS162" s="24"/>
      <c r="AT162" s="25" t="s">
        <v>583</v>
      </c>
      <c r="AU162" s="26" t="s">
        <v>68</v>
      </c>
      <c r="AV162" s="27"/>
      <c r="AW162" s="24" t="s">
        <v>79</v>
      </c>
      <c r="AX162" s="28"/>
      <c r="AY162" s="29" t="s">
        <v>70</v>
      </c>
      <c r="AZ162" s="30"/>
      <c r="BA162" s="25" t="s">
        <v>584</v>
      </c>
      <c r="BB162" s="26" t="s">
        <v>90</v>
      </c>
      <c r="BC162" s="27"/>
      <c r="BD162" s="24"/>
      <c r="BE162" s="27"/>
      <c r="BF162" s="27"/>
      <c r="BG162" s="27"/>
      <c r="BH162" s="27"/>
    </row>
    <row r="163" ht="14.25" customHeight="1">
      <c r="A163" s="73" t="s">
        <v>585</v>
      </c>
      <c r="B163" s="73"/>
      <c r="C163" s="85"/>
      <c r="D163" s="75"/>
      <c r="E163" s="76"/>
      <c r="F163" s="76"/>
      <c r="G163" s="73"/>
      <c r="H163" s="77"/>
      <c r="I163" s="78">
        <v>0.2167</v>
      </c>
      <c r="J163" s="79"/>
      <c r="K163" s="79" t="s">
        <v>62</v>
      </c>
      <c r="L163" s="79" t="s">
        <v>76</v>
      </c>
      <c r="M163" s="79" t="s">
        <v>62</v>
      </c>
      <c r="N163" s="79" t="s">
        <v>62</v>
      </c>
      <c r="O163" s="79" t="s">
        <v>162</v>
      </c>
      <c r="P163" s="79" t="s">
        <v>162</v>
      </c>
      <c r="Q163" s="79" t="s">
        <v>86</v>
      </c>
      <c r="R163" s="76">
        <f t="shared" si="3"/>
        <v>0</v>
      </c>
      <c r="S163" s="76">
        <v>51.0</v>
      </c>
      <c r="T163" s="76">
        <v>11.0</v>
      </c>
      <c r="U163" s="20">
        <f t="shared" si="4"/>
        <v>0.2156862745</v>
      </c>
      <c r="V163" s="15">
        <f t="shared" si="5"/>
        <v>22</v>
      </c>
      <c r="W163" s="76">
        <v>13.0</v>
      </c>
      <c r="X163" s="81">
        <f t="shared" si="6"/>
        <v>0.2549019608</v>
      </c>
      <c r="Y163" s="76">
        <f t="shared" ref="Y163:Z163" si="330">AE163-W163</f>
        <v>10</v>
      </c>
      <c r="Z163" s="81">
        <f t="shared" si="330"/>
        <v>0.1960784314</v>
      </c>
      <c r="AA163" s="76">
        <v>15.0</v>
      </c>
      <c r="AB163" s="81">
        <f t="shared" si="8"/>
        <v>0.2941176471</v>
      </c>
      <c r="AC163" s="76">
        <f t="shared" ref="AC163:AD163" si="331">AE163-AA163</f>
        <v>8</v>
      </c>
      <c r="AD163" s="81">
        <f t="shared" si="331"/>
        <v>0.1568627451</v>
      </c>
      <c r="AE163" s="76">
        <v>23.0</v>
      </c>
      <c r="AF163" s="81">
        <f t="shared" si="10"/>
        <v>0.4509803922</v>
      </c>
      <c r="AG163" s="76">
        <v>23.0</v>
      </c>
      <c r="AH163" s="81">
        <f t="shared" si="11"/>
        <v>0.4509803922</v>
      </c>
      <c r="AI163" s="76">
        <v>33.0</v>
      </c>
      <c r="AJ163" s="76">
        <v>2.0</v>
      </c>
      <c r="AK163" s="82">
        <v>0.0</v>
      </c>
      <c r="AL163" s="83">
        <v>0.686274509803922</v>
      </c>
      <c r="AM163" s="76">
        <v>6.0</v>
      </c>
      <c r="AN163" s="76">
        <v>16.0</v>
      </c>
      <c r="AO163" s="84" t="s">
        <v>64</v>
      </c>
      <c r="AP163" s="84" t="s">
        <v>64</v>
      </c>
      <c r="AQ163" s="85" t="s">
        <v>65</v>
      </c>
      <c r="AR163" s="86" t="s">
        <v>130</v>
      </c>
      <c r="AS163" s="86"/>
      <c r="AT163" s="87" t="s">
        <v>586</v>
      </c>
      <c r="AU163" s="88" t="s">
        <v>407</v>
      </c>
      <c r="AV163" s="93"/>
      <c r="AW163" s="86" t="s">
        <v>133</v>
      </c>
      <c r="AX163" s="92" t="s">
        <v>587</v>
      </c>
      <c r="AY163" s="91" t="s">
        <v>371</v>
      </c>
      <c r="AZ163" s="32"/>
      <c r="BA163" s="92" t="s">
        <v>588</v>
      </c>
      <c r="BB163" s="88" t="s">
        <v>90</v>
      </c>
      <c r="BC163" s="93"/>
      <c r="BD163" s="94" t="s">
        <v>91</v>
      </c>
      <c r="BE163" s="94"/>
      <c r="BF163" s="93"/>
      <c r="BG163" s="93"/>
      <c r="BH163" s="93"/>
    </row>
    <row r="164" ht="14.25" customHeight="1">
      <c r="A164" s="12" t="s">
        <v>589</v>
      </c>
      <c r="B164" s="12"/>
      <c r="C164" s="13"/>
      <c r="D164" s="14"/>
      <c r="E164" s="15"/>
      <c r="F164" s="15"/>
      <c r="G164" s="12"/>
      <c r="H164" s="16"/>
      <c r="I164" s="17">
        <v>1.0</v>
      </c>
      <c r="J164" s="18" t="s">
        <v>114</v>
      </c>
      <c r="K164" s="18" t="s">
        <v>270</v>
      </c>
      <c r="L164" s="18" t="s">
        <v>60</v>
      </c>
      <c r="M164" s="18" t="s">
        <v>60</v>
      </c>
      <c r="N164" s="18"/>
      <c r="O164" s="18" t="s">
        <v>60</v>
      </c>
      <c r="P164" s="18" t="s">
        <v>60</v>
      </c>
      <c r="Q164" s="19" t="s">
        <v>60</v>
      </c>
      <c r="R164" s="15">
        <f t="shared" si="3"/>
        <v>0</v>
      </c>
      <c r="S164" s="15">
        <v>17.0</v>
      </c>
      <c r="T164" s="15">
        <v>17.0</v>
      </c>
      <c r="U164" s="20">
        <f t="shared" si="4"/>
        <v>1</v>
      </c>
      <c r="V164" s="15">
        <f t="shared" si="5"/>
        <v>0</v>
      </c>
      <c r="W164" s="15">
        <v>17.0</v>
      </c>
      <c r="X164" s="20">
        <f t="shared" si="6"/>
        <v>1</v>
      </c>
      <c r="Y164" s="15">
        <f t="shared" ref="Y164:Z164" si="332">AE164-W164</f>
        <v>0</v>
      </c>
      <c r="Z164" s="20">
        <f t="shared" si="332"/>
        <v>0</v>
      </c>
      <c r="AA164" s="15">
        <v>17.0</v>
      </c>
      <c r="AB164" s="20">
        <f t="shared" si="8"/>
        <v>1</v>
      </c>
      <c r="AC164" s="15">
        <f t="shared" ref="AC164:AD164" si="333">AE164-AA164</f>
        <v>0</v>
      </c>
      <c r="AD164" s="20">
        <f t="shared" si="333"/>
        <v>0</v>
      </c>
      <c r="AE164" s="15">
        <v>17.0</v>
      </c>
      <c r="AF164" s="20">
        <f t="shared" si="10"/>
        <v>1</v>
      </c>
      <c r="AG164" s="15">
        <v>17.0</v>
      </c>
      <c r="AH164" s="20">
        <f t="shared" si="11"/>
        <v>1</v>
      </c>
      <c r="AI164" s="15">
        <v>17.0</v>
      </c>
      <c r="AJ164" s="15">
        <v>0.0</v>
      </c>
      <c r="AK164" s="21">
        <v>0.0</v>
      </c>
      <c r="AL164" s="22">
        <v>1.0</v>
      </c>
      <c r="AM164" s="15">
        <v>0.0</v>
      </c>
      <c r="AN164" s="15">
        <v>0.0</v>
      </c>
      <c r="AO164" s="23" t="s">
        <v>63</v>
      </c>
      <c r="AP164" s="23" t="s">
        <v>64</v>
      </c>
      <c r="AQ164" s="13" t="s">
        <v>65</v>
      </c>
      <c r="AR164" s="24" t="s">
        <v>66</v>
      </c>
      <c r="AS164" s="24"/>
      <c r="AT164" s="25" t="s">
        <v>590</v>
      </c>
      <c r="AU164" s="26" t="s">
        <v>68</v>
      </c>
      <c r="AV164" s="27"/>
      <c r="AW164" s="24" t="s">
        <v>69</v>
      </c>
      <c r="AX164" s="28"/>
      <c r="AY164" s="29" t="s">
        <v>70</v>
      </c>
      <c r="AZ164" s="30"/>
      <c r="BA164" s="25" t="s">
        <v>591</v>
      </c>
      <c r="BB164" s="26" t="s">
        <v>118</v>
      </c>
      <c r="BC164" s="27"/>
      <c r="BD164" s="24"/>
      <c r="BE164" s="27"/>
      <c r="BF164" s="27"/>
      <c r="BG164" s="27"/>
      <c r="BH164" s="27"/>
    </row>
    <row r="165" ht="14.25" customHeight="1">
      <c r="A165" s="73" t="s">
        <v>592</v>
      </c>
      <c r="B165" s="73"/>
      <c r="C165" s="74"/>
      <c r="D165" s="75"/>
      <c r="E165" s="76"/>
      <c r="F165" s="77"/>
      <c r="G165" s="73"/>
      <c r="H165" s="77"/>
      <c r="I165" s="78">
        <v>0.25</v>
      </c>
      <c r="J165" s="79"/>
      <c r="K165" s="79" t="s">
        <v>62</v>
      </c>
      <c r="L165" s="79" t="s">
        <v>76</v>
      </c>
      <c r="M165" s="79" t="s">
        <v>62</v>
      </c>
      <c r="N165" s="79" t="s">
        <v>62</v>
      </c>
      <c r="O165" s="79" t="s">
        <v>85</v>
      </c>
      <c r="P165" s="79" t="s">
        <v>62</v>
      </c>
      <c r="Q165" s="79" t="s">
        <v>62</v>
      </c>
      <c r="R165" s="76">
        <f t="shared" si="3"/>
        <v>0</v>
      </c>
      <c r="S165" s="76">
        <v>34.0</v>
      </c>
      <c r="T165" s="76">
        <v>5.0</v>
      </c>
      <c r="U165" s="20">
        <f t="shared" si="4"/>
        <v>0.1470588235</v>
      </c>
      <c r="V165" s="15">
        <f t="shared" si="5"/>
        <v>16</v>
      </c>
      <c r="W165" s="76">
        <v>5.0</v>
      </c>
      <c r="X165" s="81">
        <f t="shared" si="6"/>
        <v>0.1470588235</v>
      </c>
      <c r="Y165" s="76">
        <f t="shared" ref="Y165:Z165" si="334">AE165-W165</f>
        <v>16</v>
      </c>
      <c r="Z165" s="81">
        <f t="shared" si="334"/>
        <v>0.4705882353</v>
      </c>
      <c r="AA165" s="76">
        <v>7.0</v>
      </c>
      <c r="AB165" s="81">
        <f t="shared" si="8"/>
        <v>0.2058823529</v>
      </c>
      <c r="AC165" s="76">
        <f t="shared" ref="AC165:AD165" si="335">AE165-AA165</f>
        <v>14</v>
      </c>
      <c r="AD165" s="81">
        <f t="shared" si="335"/>
        <v>0.4117647059</v>
      </c>
      <c r="AE165" s="76">
        <v>21.0</v>
      </c>
      <c r="AF165" s="81">
        <f t="shared" si="10"/>
        <v>0.6176470588</v>
      </c>
      <c r="AG165" s="76">
        <v>21.0</v>
      </c>
      <c r="AH165" s="81">
        <f t="shared" si="11"/>
        <v>0.6176470588</v>
      </c>
      <c r="AI165" s="76">
        <v>21.0</v>
      </c>
      <c r="AJ165" s="76">
        <v>0.0</v>
      </c>
      <c r="AK165" s="82">
        <v>0.0</v>
      </c>
      <c r="AL165" s="83">
        <v>0.617647058823529</v>
      </c>
      <c r="AM165" s="76">
        <v>3.0</v>
      </c>
      <c r="AN165" s="76">
        <v>13.0</v>
      </c>
      <c r="AO165" s="84" t="s">
        <v>63</v>
      </c>
      <c r="AP165" s="84" t="s">
        <v>64</v>
      </c>
      <c r="AQ165" s="85" t="s">
        <v>108</v>
      </c>
      <c r="AR165" s="86" t="s">
        <v>130</v>
      </c>
      <c r="AS165" s="86"/>
      <c r="AT165" s="87" t="s">
        <v>593</v>
      </c>
      <c r="AU165" s="88" t="s">
        <v>68</v>
      </c>
      <c r="AV165" s="93"/>
      <c r="AW165" s="86" t="s">
        <v>100</v>
      </c>
      <c r="AX165" s="90"/>
      <c r="AY165" s="91" t="s">
        <v>260</v>
      </c>
      <c r="AZ165" s="24"/>
      <c r="BA165" s="92" t="s">
        <v>594</v>
      </c>
      <c r="BB165" s="88" t="s">
        <v>262</v>
      </c>
      <c r="BC165" s="93"/>
      <c r="BD165" s="94" t="s">
        <v>91</v>
      </c>
      <c r="BE165" s="94"/>
      <c r="BF165" s="90"/>
      <c r="BG165" s="93"/>
      <c r="BH165" s="93"/>
    </row>
    <row r="166" ht="14.25" customHeight="1">
      <c r="A166" s="12" t="s">
        <v>595</v>
      </c>
      <c r="B166" s="12"/>
      <c r="C166" s="13"/>
      <c r="D166" s="14"/>
      <c r="E166" s="15"/>
      <c r="F166" s="15"/>
      <c r="G166" s="12"/>
      <c r="H166" s="16"/>
      <c r="I166" s="17">
        <v>1.0</v>
      </c>
      <c r="J166" s="18"/>
      <c r="K166" s="18" t="s">
        <v>62</v>
      </c>
      <c r="L166" s="18" t="s">
        <v>61</v>
      </c>
      <c r="M166" s="18" t="s">
        <v>60</v>
      </c>
      <c r="N166" s="18"/>
      <c r="O166" s="18" t="s">
        <v>60</v>
      </c>
      <c r="P166" s="18" t="s">
        <v>60</v>
      </c>
      <c r="Q166" s="19" t="s">
        <v>60</v>
      </c>
      <c r="R166" s="15">
        <f t="shared" si="3"/>
        <v>0</v>
      </c>
      <c r="S166" s="15">
        <v>15.0</v>
      </c>
      <c r="T166" s="15">
        <v>15.0</v>
      </c>
      <c r="U166" s="20">
        <f t="shared" si="4"/>
        <v>1</v>
      </c>
      <c r="V166" s="15">
        <f t="shared" si="5"/>
        <v>0</v>
      </c>
      <c r="W166" s="15">
        <v>15.0</v>
      </c>
      <c r="X166" s="20">
        <f t="shared" si="6"/>
        <v>1</v>
      </c>
      <c r="Y166" s="15">
        <f t="shared" ref="Y166:Z166" si="336">AE166-W166</f>
        <v>0</v>
      </c>
      <c r="Z166" s="20">
        <f t="shared" si="336"/>
        <v>0</v>
      </c>
      <c r="AA166" s="15">
        <v>15.0</v>
      </c>
      <c r="AB166" s="20">
        <f t="shared" si="8"/>
        <v>1</v>
      </c>
      <c r="AC166" s="15">
        <f t="shared" ref="AC166:AD166" si="337">AE166-AA166</f>
        <v>0</v>
      </c>
      <c r="AD166" s="20">
        <f t="shared" si="337"/>
        <v>0</v>
      </c>
      <c r="AE166" s="15">
        <v>15.0</v>
      </c>
      <c r="AF166" s="20">
        <f t="shared" si="10"/>
        <v>1</v>
      </c>
      <c r="AG166" s="15">
        <v>15.0</v>
      </c>
      <c r="AH166" s="20">
        <f t="shared" si="11"/>
        <v>1</v>
      </c>
      <c r="AI166" s="15">
        <v>15.0</v>
      </c>
      <c r="AJ166" s="15">
        <v>0.0</v>
      </c>
      <c r="AK166" s="21">
        <v>0.0</v>
      </c>
      <c r="AL166" s="22">
        <v>1.0</v>
      </c>
      <c r="AM166" s="15">
        <v>0.0</v>
      </c>
      <c r="AN166" s="15">
        <v>0.0</v>
      </c>
      <c r="AO166" s="23" t="s">
        <v>63</v>
      </c>
      <c r="AP166" s="23" t="s">
        <v>64</v>
      </c>
      <c r="AQ166" s="13" t="s">
        <v>104</v>
      </c>
      <c r="AR166" s="24" t="s">
        <v>66</v>
      </c>
      <c r="AS166" s="24"/>
      <c r="AT166" s="25" t="s">
        <v>596</v>
      </c>
      <c r="AU166" s="26" t="s">
        <v>68</v>
      </c>
      <c r="AV166" s="27"/>
      <c r="AW166" s="24" t="s">
        <v>69</v>
      </c>
      <c r="AX166" s="28"/>
      <c r="AY166" s="29" t="s">
        <v>70</v>
      </c>
      <c r="AZ166" s="30"/>
      <c r="BA166" s="25" t="s">
        <v>597</v>
      </c>
      <c r="BB166" s="26" t="s">
        <v>72</v>
      </c>
      <c r="BC166" s="27"/>
      <c r="BD166" s="24" t="s">
        <v>112</v>
      </c>
      <c r="BE166" s="27"/>
      <c r="BF166" s="27"/>
      <c r="BG166" s="27"/>
      <c r="BH166" s="27"/>
    </row>
    <row r="167" ht="14.25" customHeight="1">
      <c r="A167" s="12" t="s">
        <v>598</v>
      </c>
      <c r="B167" s="12"/>
      <c r="C167" s="13"/>
      <c r="D167" s="14"/>
      <c r="E167" s="15"/>
      <c r="F167" s="19"/>
      <c r="G167" s="39"/>
      <c r="H167" s="18"/>
      <c r="I167" s="17">
        <v>0.2333</v>
      </c>
      <c r="J167" s="18"/>
      <c r="K167" s="18" t="s">
        <v>84</v>
      </c>
      <c r="L167" s="18" t="s">
        <v>76</v>
      </c>
      <c r="M167" s="18" t="s">
        <v>62</v>
      </c>
      <c r="N167" s="18"/>
      <c r="O167" s="18" t="s">
        <v>62</v>
      </c>
      <c r="P167" s="19" t="s">
        <v>62</v>
      </c>
      <c r="Q167" s="19" t="s">
        <v>86</v>
      </c>
      <c r="R167" s="15">
        <f t="shared" si="3"/>
        <v>0</v>
      </c>
      <c r="S167" s="15">
        <v>24.0</v>
      </c>
      <c r="T167" s="15">
        <v>3.0</v>
      </c>
      <c r="U167" s="20">
        <f t="shared" si="4"/>
        <v>0.125</v>
      </c>
      <c r="V167" s="15">
        <f t="shared" si="5"/>
        <v>14</v>
      </c>
      <c r="W167" s="15">
        <v>3.0</v>
      </c>
      <c r="X167" s="20">
        <f t="shared" si="6"/>
        <v>0.125</v>
      </c>
      <c r="Y167" s="15">
        <f t="shared" ref="Y167:Z167" si="338">AE167-W167</f>
        <v>14</v>
      </c>
      <c r="Z167" s="20">
        <f t="shared" si="338"/>
        <v>0.5833333333</v>
      </c>
      <c r="AA167" s="15">
        <v>3.0</v>
      </c>
      <c r="AB167" s="20">
        <f t="shared" si="8"/>
        <v>0.125</v>
      </c>
      <c r="AC167" s="15">
        <f t="shared" ref="AC167:AD167" si="339">AE167-AA167</f>
        <v>14</v>
      </c>
      <c r="AD167" s="20">
        <f t="shared" si="339"/>
        <v>0.5833333333</v>
      </c>
      <c r="AE167" s="15">
        <v>17.0</v>
      </c>
      <c r="AF167" s="20">
        <f t="shared" si="10"/>
        <v>0.7083333333</v>
      </c>
      <c r="AG167" s="15">
        <v>17.0</v>
      </c>
      <c r="AH167" s="20">
        <f t="shared" si="11"/>
        <v>0.7083333333</v>
      </c>
      <c r="AI167" s="15">
        <v>17.0</v>
      </c>
      <c r="AJ167" s="15">
        <v>0.0</v>
      </c>
      <c r="AK167" s="21">
        <v>0.0</v>
      </c>
      <c r="AL167" s="22">
        <v>0.708333333333333</v>
      </c>
      <c r="AM167" s="15">
        <v>7.0</v>
      </c>
      <c r="AN167" s="15">
        <v>7.0</v>
      </c>
      <c r="AO167" s="23" t="s">
        <v>63</v>
      </c>
      <c r="AP167" s="23" t="s">
        <v>64</v>
      </c>
      <c r="AQ167" s="13" t="s">
        <v>108</v>
      </c>
      <c r="AR167" s="24" t="s">
        <v>66</v>
      </c>
      <c r="AS167" s="24"/>
      <c r="AT167" s="25" t="s">
        <v>599</v>
      </c>
      <c r="AU167" s="26" t="s">
        <v>68</v>
      </c>
      <c r="AV167" s="27"/>
      <c r="AW167" s="24" t="s">
        <v>79</v>
      </c>
      <c r="AX167" s="28"/>
      <c r="AY167" s="29" t="s">
        <v>89</v>
      </c>
      <c r="AZ167" s="29"/>
      <c r="BA167" s="28"/>
      <c r="BB167" s="26" t="s">
        <v>90</v>
      </c>
      <c r="BC167" s="27"/>
      <c r="BD167" s="34" t="s">
        <v>91</v>
      </c>
      <c r="BE167" s="34"/>
      <c r="BF167" s="27"/>
      <c r="BG167" s="27"/>
      <c r="BH167" s="27"/>
    </row>
    <row r="168" ht="14.25" customHeight="1">
      <c r="A168" s="12" t="s">
        <v>600</v>
      </c>
      <c r="B168" s="12"/>
      <c r="C168" s="13"/>
      <c r="D168" s="14"/>
      <c r="E168" s="15"/>
      <c r="F168" s="15"/>
      <c r="G168" s="12"/>
      <c r="H168" s="16"/>
      <c r="I168" s="17">
        <v>0.0083</v>
      </c>
      <c r="J168" s="18"/>
      <c r="K168" s="18"/>
      <c r="L168" s="18" t="s">
        <v>84</v>
      </c>
      <c r="M168" s="18" t="s">
        <v>84</v>
      </c>
      <c r="N168" s="18" t="s">
        <v>84</v>
      </c>
      <c r="O168" s="18" t="s">
        <v>62</v>
      </c>
      <c r="P168" s="18" t="s">
        <v>86</v>
      </c>
      <c r="Q168" s="19" t="s">
        <v>60</v>
      </c>
      <c r="R168" s="15">
        <f t="shared" si="3"/>
        <v>0</v>
      </c>
      <c r="S168" s="15">
        <v>151.0</v>
      </c>
      <c r="T168" s="15">
        <v>0.0</v>
      </c>
      <c r="U168" s="20">
        <f t="shared" si="4"/>
        <v>0</v>
      </c>
      <c r="V168" s="15">
        <f t="shared" si="5"/>
        <v>70</v>
      </c>
      <c r="W168" s="15">
        <v>5.0</v>
      </c>
      <c r="X168" s="20">
        <f t="shared" si="6"/>
        <v>0.03311258278</v>
      </c>
      <c r="Y168" s="15">
        <f t="shared" ref="Y168:Z168" si="340">AE168-W168</f>
        <v>12</v>
      </c>
      <c r="Z168" s="20">
        <f t="shared" si="340"/>
        <v>0.07947019868</v>
      </c>
      <c r="AA168" s="15">
        <v>17.0</v>
      </c>
      <c r="AB168" s="20">
        <f t="shared" si="8"/>
        <v>0.1125827815</v>
      </c>
      <c r="AC168" s="15">
        <f t="shared" ref="AC168:AD168" si="341">AE168-AA168</f>
        <v>0</v>
      </c>
      <c r="AD168" s="20">
        <f t="shared" si="341"/>
        <v>0</v>
      </c>
      <c r="AE168" s="15">
        <v>17.0</v>
      </c>
      <c r="AF168" s="20">
        <f t="shared" si="10"/>
        <v>0.1125827815</v>
      </c>
      <c r="AG168" s="15">
        <v>16.0</v>
      </c>
      <c r="AH168" s="20">
        <f t="shared" si="11"/>
        <v>0.1059602649</v>
      </c>
      <c r="AI168" s="15">
        <v>70.0</v>
      </c>
      <c r="AJ168" s="15">
        <v>0.0</v>
      </c>
      <c r="AK168" s="21">
        <v>0.0</v>
      </c>
      <c r="AL168" s="22">
        <v>0.463576158940397</v>
      </c>
      <c r="AM168" s="15">
        <v>80.0</v>
      </c>
      <c r="AN168" s="15">
        <v>81.0</v>
      </c>
      <c r="AO168" s="23" t="s">
        <v>64</v>
      </c>
      <c r="AP168" s="23" t="s">
        <v>64</v>
      </c>
      <c r="AQ168" s="13" t="s">
        <v>93</v>
      </c>
      <c r="AR168" s="24" t="s">
        <v>66</v>
      </c>
      <c r="AS168" s="24"/>
      <c r="AT168" s="25" t="s">
        <v>601</v>
      </c>
      <c r="AU168" s="26" t="s">
        <v>68</v>
      </c>
      <c r="AV168" s="27"/>
      <c r="AW168" s="24" t="s">
        <v>100</v>
      </c>
      <c r="AX168" s="28"/>
      <c r="AY168" s="29" t="s">
        <v>134</v>
      </c>
      <c r="AZ168" s="29"/>
      <c r="BA168" s="28"/>
      <c r="BB168" s="26" t="s">
        <v>90</v>
      </c>
      <c r="BC168" s="27"/>
      <c r="BD168" s="34" t="s">
        <v>91</v>
      </c>
      <c r="BE168" s="34"/>
      <c r="BF168" s="27"/>
      <c r="BG168" s="27"/>
      <c r="BH168" s="27"/>
    </row>
    <row r="169" ht="14.25" customHeight="1">
      <c r="A169" s="12" t="s">
        <v>602</v>
      </c>
      <c r="B169" s="12"/>
      <c r="C169" s="13"/>
      <c r="D169" s="14"/>
      <c r="E169" s="15"/>
      <c r="F169" s="15"/>
      <c r="G169" s="12"/>
      <c r="H169" s="16"/>
      <c r="I169" s="17">
        <v>0.0</v>
      </c>
      <c r="J169" s="18"/>
      <c r="K169" s="18"/>
      <c r="L169" s="18" t="s">
        <v>84</v>
      </c>
      <c r="M169" s="18" t="s">
        <v>84</v>
      </c>
      <c r="N169" s="18"/>
      <c r="O169" s="18" t="s">
        <v>60</v>
      </c>
      <c r="P169" s="18" t="s">
        <v>60</v>
      </c>
      <c r="Q169" s="19" t="s">
        <v>60</v>
      </c>
      <c r="R169" s="15">
        <f t="shared" si="3"/>
        <v>0</v>
      </c>
      <c r="S169" s="15">
        <v>20.0</v>
      </c>
      <c r="T169" s="15">
        <v>0.0</v>
      </c>
      <c r="U169" s="20">
        <f t="shared" si="4"/>
        <v>0</v>
      </c>
      <c r="V169" s="15">
        <f t="shared" si="5"/>
        <v>20</v>
      </c>
      <c r="W169" s="15">
        <v>20.0</v>
      </c>
      <c r="X169" s="20">
        <f t="shared" si="6"/>
        <v>1</v>
      </c>
      <c r="Y169" s="15">
        <f t="shared" ref="Y169:Z169" si="342">AE169-W169</f>
        <v>0</v>
      </c>
      <c r="Z169" s="20">
        <f t="shared" si="342"/>
        <v>0</v>
      </c>
      <c r="AA169" s="15">
        <v>20.0</v>
      </c>
      <c r="AB169" s="20">
        <f t="shared" si="8"/>
        <v>1</v>
      </c>
      <c r="AC169" s="15">
        <f t="shared" ref="AC169:AD169" si="343">AE169-AA169</f>
        <v>0</v>
      </c>
      <c r="AD169" s="20">
        <f t="shared" si="343"/>
        <v>0</v>
      </c>
      <c r="AE169" s="15">
        <v>20.0</v>
      </c>
      <c r="AF169" s="20">
        <f t="shared" si="10"/>
        <v>1</v>
      </c>
      <c r="AG169" s="15">
        <v>20.0</v>
      </c>
      <c r="AH169" s="20">
        <f t="shared" si="11"/>
        <v>1</v>
      </c>
      <c r="AI169" s="15">
        <v>20.0</v>
      </c>
      <c r="AJ169" s="15">
        <v>0.0</v>
      </c>
      <c r="AK169" s="21">
        <v>0.0</v>
      </c>
      <c r="AL169" s="22">
        <v>1.0</v>
      </c>
      <c r="AM169" s="15">
        <v>0.0</v>
      </c>
      <c r="AN169" s="15">
        <v>0.0</v>
      </c>
      <c r="AO169" s="23" t="s">
        <v>63</v>
      </c>
      <c r="AP169" s="23" t="s">
        <v>64</v>
      </c>
      <c r="AQ169" s="13" t="s">
        <v>108</v>
      </c>
      <c r="AR169" s="24" t="s">
        <v>66</v>
      </c>
      <c r="AS169" s="24"/>
      <c r="AT169" s="52" t="s">
        <v>603</v>
      </c>
      <c r="AU169" s="26" t="s">
        <v>604</v>
      </c>
      <c r="AV169" s="27"/>
      <c r="AW169" s="24" t="s">
        <v>133</v>
      </c>
      <c r="AX169" s="42">
        <v>46001.0</v>
      </c>
      <c r="AY169" s="29" t="s">
        <v>250</v>
      </c>
      <c r="AZ169" s="29"/>
      <c r="BA169" s="28"/>
      <c r="BB169" s="26"/>
      <c r="BC169" s="27"/>
      <c r="BD169" s="24"/>
      <c r="BE169" s="24"/>
      <c r="BF169" s="27"/>
      <c r="BG169" s="27"/>
      <c r="BH169" s="27"/>
    </row>
    <row r="170" ht="14.25" customHeight="1">
      <c r="A170" s="12" t="s">
        <v>605</v>
      </c>
      <c r="B170" s="12"/>
      <c r="C170" s="13"/>
      <c r="D170" s="14"/>
      <c r="E170" s="15"/>
      <c r="F170" s="19"/>
      <c r="G170" s="39"/>
      <c r="H170" s="18"/>
      <c r="I170" s="17">
        <v>0.0621</v>
      </c>
      <c r="J170" s="18"/>
      <c r="K170" s="18"/>
      <c r="L170" s="18" t="s">
        <v>129</v>
      </c>
      <c r="M170" s="18" t="s">
        <v>515</v>
      </c>
      <c r="N170" s="18" t="s">
        <v>84</v>
      </c>
      <c r="O170" s="18" t="s">
        <v>86</v>
      </c>
      <c r="P170" s="18" t="s">
        <v>128</v>
      </c>
      <c r="Q170" s="18" t="s">
        <v>86</v>
      </c>
      <c r="R170" s="15">
        <f t="shared" si="3"/>
        <v>0</v>
      </c>
      <c r="S170" s="15">
        <v>137.0</v>
      </c>
      <c r="T170" s="15">
        <v>5.0</v>
      </c>
      <c r="U170" s="20">
        <f t="shared" si="4"/>
        <v>0.03649635036</v>
      </c>
      <c r="V170" s="15">
        <f t="shared" si="5"/>
        <v>21</v>
      </c>
      <c r="W170" s="15">
        <v>5.0</v>
      </c>
      <c r="X170" s="20">
        <f t="shared" si="6"/>
        <v>0.03649635036</v>
      </c>
      <c r="Y170" s="15">
        <f t="shared" ref="Y170:Z170" si="344">AE170-W170</f>
        <v>23</v>
      </c>
      <c r="Z170" s="20">
        <f t="shared" si="344"/>
        <v>0.1678832117</v>
      </c>
      <c r="AA170" s="15">
        <v>9.0</v>
      </c>
      <c r="AB170" s="20">
        <f t="shared" si="8"/>
        <v>0.06569343066</v>
      </c>
      <c r="AC170" s="15">
        <f t="shared" ref="AC170:AD170" si="345">AE170-AA170</f>
        <v>19</v>
      </c>
      <c r="AD170" s="20">
        <f t="shared" si="345"/>
        <v>0.1386861314</v>
      </c>
      <c r="AE170" s="15">
        <v>28.0</v>
      </c>
      <c r="AF170" s="20">
        <f t="shared" si="10"/>
        <v>0.204379562</v>
      </c>
      <c r="AG170" s="15">
        <v>28.0</v>
      </c>
      <c r="AH170" s="20">
        <f t="shared" si="11"/>
        <v>0.204379562</v>
      </c>
      <c r="AI170" s="15">
        <v>26.0</v>
      </c>
      <c r="AJ170" s="15">
        <v>0.0</v>
      </c>
      <c r="AK170" s="21">
        <v>1.0</v>
      </c>
      <c r="AL170" s="22">
        <v>0.197080291970803</v>
      </c>
      <c r="AM170" s="15">
        <v>109.0</v>
      </c>
      <c r="AN170" s="15">
        <v>57.0</v>
      </c>
      <c r="AO170" s="23" t="s">
        <v>64</v>
      </c>
      <c r="AP170" s="23" t="s">
        <v>64</v>
      </c>
      <c r="AQ170" s="13" t="s">
        <v>77</v>
      </c>
      <c r="AR170" s="24" t="s">
        <v>66</v>
      </c>
      <c r="AS170" s="24"/>
      <c r="AT170" s="25" t="s">
        <v>606</v>
      </c>
      <c r="AU170" s="26" t="s">
        <v>68</v>
      </c>
      <c r="AV170" s="36"/>
      <c r="AW170" s="24" t="s">
        <v>79</v>
      </c>
      <c r="AX170" s="28"/>
      <c r="AY170" s="29" t="s">
        <v>134</v>
      </c>
      <c r="AZ170" s="29"/>
      <c r="BA170" s="28"/>
      <c r="BB170" s="26" t="s">
        <v>90</v>
      </c>
      <c r="BC170" s="27"/>
      <c r="BD170" s="34" t="s">
        <v>91</v>
      </c>
      <c r="BE170" s="34"/>
      <c r="BF170" s="27"/>
      <c r="BG170" s="27"/>
      <c r="BH170" s="27"/>
    </row>
    <row r="171" ht="14.25" customHeight="1">
      <c r="A171" s="12" t="s">
        <v>607</v>
      </c>
      <c r="B171" s="12"/>
      <c r="C171" s="13"/>
      <c r="D171" s="14"/>
      <c r="E171" s="15"/>
      <c r="F171" s="15"/>
      <c r="G171" s="12"/>
      <c r="H171" s="16"/>
      <c r="I171" s="17">
        <v>0.0</v>
      </c>
      <c r="J171" s="18"/>
      <c r="K171" s="18"/>
      <c r="L171" s="18" t="s">
        <v>84</v>
      </c>
      <c r="M171" s="18" t="s">
        <v>608</v>
      </c>
      <c r="N171" s="18"/>
      <c r="O171" s="18" t="s">
        <v>60</v>
      </c>
      <c r="P171" s="18" t="s">
        <v>60</v>
      </c>
      <c r="Q171" s="19" t="s">
        <v>60</v>
      </c>
      <c r="R171" s="15">
        <f t="shared" si="3"/>
        <v>0</v>
      </c>
      <c r="S171" s="15">
        <v>18.0</v>
      </c>
      <c r="T171" s="15">
        <v>0.0</v>
      </c>
      <c r="U171" s="20">
        <f t="shared" si="4"/>
        <v>0</v>
      </c>
      <c r="V171" s="15">
        <f t="shared" si="5"/>
        <v>18</v>
      </c>
      <c r="W171" s="15">
        <v>18.0</v>
      </c>
      <c r="X171" s="20">
        <f t="shared" si="6"/>
        <v>1</v>
      </c>
      <c r="Y171" s="15">
        <f t="shared" ref="Y171:Z171" si="346">AE171-W171</f>
        <v>0</v>
      </c>
      <c r="Z171" s="20">
        <f t="shared" si="346"/>
        <v>0</v>
      </c>
      <c r="AA171" s="15">
        <v>18.0</v>
      </c>
      <c r="AB171" s="20">
        <f t="shared" si="8"/>
        <v>1</v>
      </c>
      <c r="AC171" s="15">
        <f t="shared" ref="AC171:AD171" si="347">AE171-AA171</f>
        <v>0</v>
      </c>
      <c r="AD171" s="20">
        <f t="shared" si="347"/>
        <v>0</v>
      </c>
      <c r="AE171" s="15">
        <v>18.0</v>
      </c>
      <c r="AF171" s="20">
        <f t="shared" si="10"/>
        <v>1</v>
      </c>
      <c r="AG171" s="15">
        <v>18.0</v>
      </c>
      <c r="AH171" s="20">
        <f t="shared" si="11"/>
        <v>1</v>
      </c>
      <c r="AI171" s="15">
        <v>18.0</v>
      </c>
      <c r="AJ171" s="15">
        <v>0.0</v>
      </c>
      <c r="AK171" s="21">
        <v>0.0</v>
      </c>
      <c r="AL171" s="22">
        <v>1.0</v>
      </c>
      <c r="AM171" s="15">
        <v>0.0</v>
      </c>
      <c r="AN171" s="15">
        <v>0.0</v>
      </c>
      <c r="AO171" s="23" t="s">
        <v>63</v>
      </c>
      <c r="AP171" s="23" t="s">
        <v>64</v>
      </c>
      <c r="AQ171" s="13" t="s">
        <v>104</v>
      </c>
      <c r="AR171" s="24" t="s">
        <v>66</v>
      </c>
      <c r="AS171" s="24"/>
      <c r="AT171" s="25" t="s">
        <v>609</v>
      </c>
      <c r="AU171" s="26" t="s">
        <v>68</v>
      </c>
      <c r="AV171" s="27"/>
      <c r="AW171" s="24" t="s">
        <v>79</v>
      </c>
      <c r="AX171" s="28"/>
      <c r="AY171" s="29" t="s">
        <v>70</v>
      </c>
      <c r="AZ171" s="32"/>
      <c r="BA171" s="25" t="s">
        <v>610</v>
      </c>
      <c r="BB171" s="26" t="s">
        <v>72</v>
      </c>
      <c r="BC171" s="27"/>
      <c r="BD171" s="24" t="s">
        <v>112</v>
      </c>
      <c r="BE171" s="27"/>
      <c r="BF171" s="27"/>
      <c r="BG171" s="27"/>
      <c r="BH171" s="27"/>
    </row>
    <row r="172" ht="14.25" customHeight="1">
      <c r="A172" s="12" t="s">
        <v>611</v>
      </c>
      <c r="B172" s="12"/>
      <c r="C172" s="13"/>
      <c r="D172" s="14"/>
      <c r="E172" s="15"/>
      <c r="F172" s="15"/>
      <c r="G172" s="12"/>
      <c r="H172" s="16"/>
      <c r="I172" s="17">
        <v>1.0</v>
      </c>
      <c r="J172" s="18" t="s">
        <v>612</v>
      </c>
      <c r="K172" s="18" t="s">
        <v>270</v>
      </c>
      <c r="L172" s="18" t="s">
        <v>60</v>
      </c>
      <c r="M172" s="18" t="s">
        <v>60</v>
      </c>
      <c r="N172" s="18"/>
      <c r="O172" s="18" t="s">
        <v>60</v>
      </c>
      <c r="P172" s="18" t="s">
        <v>60</v>
      </c>
      <c r="Q172" s="19" t="s">
        <v>60</v>
      </c>
      <c r="R172" s="15">
        <f t="shared" si="3"/>
        <v>0</v>
      </c>
      <c r="S172" s="15">
        <v>51.0</v>
      </c>
      <c r="T172" s="15">
        <v>51.0</v>
      </c>
      <c r="U172" s="20">
        <f t="shared" si="4"/>
        <v>1</v>
      </c>
      <c r="V172" s="15">
        <f t="shared" si="5"/>
        <v>0</v>
      </c>
      <c r="W172" s="15">
        <v>51.0</v>
      </c>
      <c r="X172" s="20">
        <f t="shared" si="6"/>
        <v>1</v>
      </c>
      <c r="Y172" s="15">
        <f t="shared" ref="Y172:Z172" si="348">AE172-W172</f>
        <v>0</v>
      </c>
      <c r="Z172" s="20">
        <f t="shared" si="348"/>
        <v>0</v>
      </c>
      <c r="AA172" s="15">
        <v>51.0</v>
      </c>
      <c r="AB172" s="20">
        <f t="shared" si="8"/>
        <v>1</v>
      </c>
      <c r="AC172" s="15">
        <f t="shared" ref="AC172:AD172" si="349">AE172-AA172</f>
        <v>0</v>
      </c>
      <c r="AD172" s="20">
        <f t="shared" si="349"/>
        <v>0</v>
      </c>
      <c r="AE172" s="15">
        <v>51.0</v>
      </c>
      <c r="AF172" s="20">
        <f t="shared" si="10"/>
        <v>1</v>
      </c>
      <c r="AG172" s="15">
        <v>51.0</v>
      </c>
      <c r="AH172" s="20">
        <f t="shared" si="11"/>
        <v>1</v>
      </c>
      <c r="AI172" s="15">
        <v>51.0</v>
      </c>
      <c r="AJ172" s="15">
        <v>0.0</v>
      </c>
      <c r="AK172" s="21">
        <v>0.0</v>
      </c>
      <c r="AL172" s="22">
        <v>1.0</v>
      </c>
      <c r="AM172" s="15">
        <v>0.0</v>
      </c>
      <c r="AN172" s="15">
        <v>0.0</v>
      </c>
      <c r="AO172" s="23" t="s">
        <v>64</v>
      </c>
      <c r="AP172" s="23" t="s">
        <v>64</v>
      </c>
      <c r="AQ172" s="13" t="s">
        <v>93</v>
      </c>
      <c r="AR172" s="24" t="s">
        <v>66</v>
      </c>
      <c r="AS172" s="24"/>
      <c r="AT172" s="25" t="s">
        <v>613</v>
      </c>
      <c r="AU172" s="26" t="s">
        <v>407</v>
      </c>
      <c r="AV172" s="27"/>
      <c r="AW172" s="24" t="s">
        <v>133</v>
      </c>
      <c r="AX172" s="36">
        <v>46021.0</v>
      </c>
      <c r="AY172" s="29" t="s">
        <v>70</v>
      </c>
      <c r="AZ172" s="121"/>
      <c r="BA172" s="25" t="s">
        <v>614</v>
      </c>
      <c r="BB172" s="26" t="s">
        <v>615</v>
      </c>
      <c r="BC172" s="31"/>
      <c r="BD172" s="24"/>
      <c r="BE172" s="25" t="s">
        <v>616</v>
      </c>
      <c r="BF172" s="27"/>
      <c r="BG172" s="27"/>
      <c r="BH172" s="27"/>
    </row>
    <row r="173" ht="14.25" customHeight="1">
      <c r="A173" s="12" t="s">
        <v>617</v>
      </c>
      <c r="B173" s="12"/>
      <c r="C173" s="13"/>
      <c r="D173" s="14"/>
      <c r="E173" s="15"/>
      <c r="F173" s="15"/>
      <c r="G173" s="12"/>
      <c r="H173" s="16"/>
      <c r="I173" s="17">
        <v>0.01</v>
      </c>
      <c r="J173" s="18"/>
      <c r="K173" s="18"/>
      <c r="L173" s="18" t="s">
        <v>84</v>
      </c>
      <c r="M173" s="18" t="s">
        <v>84</v>
      </c>
      <c r="N173" s="18" t="s">
        <v>84</v>
      </c>
      <c r="O173" s="18" t="s">
        <v>129</v>
      </c>
      <c r="P173" s="18" t="s">
        <v>128</v>
      </c>
      <c r="Q173" s="18" t="s">
        <v>162</v>
      </c>
      <c r="R173" s="15">
        <f t="shared" si="3"/>
        <v>0</v>
      </c>
      <c r="S173" s="15">
        <v>72.0</v>
      </c>
      <c r="T173" s="15">
        <v>1.0</v>
      </c>
      <c r="U173" s="20">
        <f t="shared" si="4"/>
        <v>0.01388888889</v>
      </c>
      <c r="V173" s="15">
        <f t="shared" si="5"/>
        <v>14</v>
      </c>
      <c r="W173" s="15">
        <v>2.0</v>
      </c>
      <c r="X173" s="20">
        <f t="shared" si="6"/>
        <v>0.02777777778</v>
      </c>
      <c r="Y173" s="15">
        <f t="shared" ref="Y173:Z173" si="350">AE173-W173</f>
        <v>13</v>
      </c>
      <c r="Z173" s="20">
        <f t="shared" si="350"/>
        <v>0.1805555556</v>
      </c>
      <c r="AA173" s="15">
        <v>9.0</v>
      </c>
      <c r="AB173" s="20">
        <f t="shared" si="8"/>
        <v>0.125</v>
      </c>
      <c r="AC173" s="15">
        <f t="shared" ref="AC173:AD173" si="351">AE173-AA173</f>
        <v>6</v>
      </c>
      <c r="AD173" s="20">
        <f t="shared" si="351"/>
        <v>0.08333333333</v>
      </c>
      <c r="AE173" s="15">
        <v>15.0</v>
      </c>
      <c r="AF173" s="20">
        <f t="shared" si="10"/>
        <v>0.2083333333</v>
      </c>
      <c r="AG173" s="15">
        <v>15.0</v>
      </c>
      <c r="AH173" s="20">
        <f t="shared" si="11"/>
        <v>0.2083333333</v>
      </c>
      <c r="AI173" s="15">
        <v>15.0</v>
      </c>
      <c r="AJ173" s="15">
        <v>0.0</v>
      </c>
      <c r="AK173" s="21">
        <v>0.0</v>
      </c>
      <c r="AL173" s="22">
        <v>0.208333333333333</v>
      </c>
      <c r="AM173" s="15">
        <v>57.0</v>
      </c>
      <c r="AN173" s="15">
        <v>53.0</v>
      </c>
      <c r="AO173" s="23" t="s">
        <v>63</v>
      </c>
      <c r="AP173" s="23" t="s">
        <v>64</v>
      </c>
      <c r="AQ173" s="13" t="s">
        <v>77</v>
      </c>
      <c r="AR173" s="24" t="s">
        <v>66</v>
      </c>
      <c r="AS173" s="24"/>
      <c r="AT173" s="25" t="s">
        <v>618</v>
      </c>
      <c r="AU173" s="26" t="s">
        <v>118</v>
      </c>
      <c r="AV173" s="27"/>
      <c r="AW173" s="24" t="s">
        <v>133</v>
      </c>
      <c r="AX173" s="36">
        <v>46001.0</v>
      </c>
      <c r="AY173" s="29" t="s">
        <v>134</v>
      </c>
      <c r="AZ173" s="29"/>
      <c r="BA173" s="28"/>
      <c r="BB173" s="26" t="s">
        <v>90</v>
      </c>
      <c r="BC173" s="27"/>
      <c r="BD173" s="34" t="s">
        <v>91</v>
      </c>
      <c r="BE173" s="34"/>
      <c r="BF173" s="27"/>
      <c r="BG173" s="27"/>
      <c r="BH173" s="27"/>
    </row>
    <row r="174" ht="14.25" customHeight="1">
      <c r="A174" s="12" t="s">
        <v>619</v>
      </c>
      <c r="B174" s="12"/>
      <c r="C174" s="13"/>
      <c r="D174" s="14"/>
      <c r="E174" s="15"/>
      <c r="F174" s="15"/>
      <c r="G174" s="12"/>
      <c r="H174" s="16"/>
      <c r="I174" s="17">
        <v>0.0645</v>
      </c>
      <c r="J174" s="18"/>
      <c r="K174" s="18"/>
      <c r="L174" s="18" t="s">
        <v>84</v>
      </c>
      <c r="M174" s="18" t="s">
        <v>62</v>
      </c>
      <c r="N174" s="18" t="s">
        <v>84</v>
      </c>
      <c r="O174" s="18" t="s">
        <v>161</v>
      </c>
      <c r="P174" s="18" t="s">
        <v>62</v>
      </c>
      <c r="Q174" s="18" t="s">
        <v>62</v>
      </c>
      <c r="R174" s="15">
        <f t="shared" si="3"/>
        <v>0</v>
      </c>
      <c r="S174" s="15">
        <v>28.0</v>
      </c>
      <c r="T174" s="15">
        <v>1.0</v>
      </c>
      <c r="U174" s="20">
        <f t="shared" si="4"/>
        <v>0.03571428571</v>
      </c>
      <c r="V174" s="15">
        <f t="shared" si="5"/>
        <v>14</v>
      </c>
      <c r="W174" s="15">
        <v>3.0</v>
      </c>
      <c r="X174" s="20">
        <f t="shared" si="6"/>
        <v>0.1071428571</v>
      </c>
      <c r="Y174" s="15">
        <f t="shared" ref="Y174:Z174" si="352">AE174-W174</f>
        <v>13</v>
      </c>
      <c r="Z174" s="20">
        <f t="shared" si="352"/>
        <v>0.4642857143</v>
      </c>
      <c r="AA174" s="15">
        <v>6.0</v>
      </c>
      <c r="AB174" s="20">
        <f t="shared" si="8"/>
        <v>0.2142857143</v>
      </c>
      <c r="AC174" s="15">
        <f t="shared" ref="AC174:AD174" si="353">AE174-AA174</f>
        <v>10</v>
      </c>
      <c r="AD174" s="20">
        <f t="shared" si="353"/>
        <v>0.3571428571</v>
      </c>
      <c r="AE174" s="15">
        <v>16.0</v>
      </c>
      <c r="AF174" s="20">
        <f t="shared" si="10"/>
        <v>0.5714285714</v>
      </c>
      <c r="AG174" s="15">
        <v>16.0</v>
      </c>
      <c r="AH174" s="20">
        <f t="shared" si="11"/>
        <v>0.5714285714</v>
      </c>
      <c r="AI174" s="15">
        <v>15.0</v>
      </c>
      <c r="AJ174" s="15">
        <v>1.0</v>
      </c>
      <c r="AK174" s="21">
        <v>0.0</v>
      </c>
      <c r="AL174" s="22">
        <v>0.571428571428571</v>
      </c>
      <c r="AM174" s="15">
        <v>13.0</v>
      </c>
      <c r="AN174" s="15">
        <v>12.0</v>
      </c>
      <c r="AO174" s="23" t="s">
        <v>63</v>
      </c>
      <c r="AP174" s="23" t="s">
        <v>64</v>
      </c>
      <c r="AQ174" s="13" t="s">
        <v>93</v>
      </c>
      <c r="AR174" s="24" t="s">
        <v>66</v>
      </c>
      <c r="AS174" s="24"/>
      <c r="AT174" s="25" t="s">
        <v>620</v>
      </c>
      <c r="AU174" s="26" t="s">
        <v>68</v>
      </c>
      <c r="AV174" s="27"/>
      <c r="AW174" s="24" t="s">
        <v>69</v>
      </c>
      <c r="AX174" s="28"/>
      <c r="AY174" s="29" t="s">
        <v>134</v>
      </c>
      <c r="AZ174" s="29"/>
      <c r="BA174" s="28"/>
      <c r="BB174" s="26" t="s">
        <v>90</v>
      </c>
      <c r="BC174" s="27"/>
      <c r="BD174" s="34" t="s">
        <v>91</v>
      </c>
      <c r="BE174" s="34"/>
      <c r="BF174" s="27"/>
      <c r="BG174" s="27"/>
      <c r="BH174" s="27"/>
    </row>
    <row r="175" ht="14.25" customHeight="1">
      <c r="A175" s="12" t="s">
        <v>621</v>
      </c>
      <c r="B175" s="12"/>
      <c r="C175" s="13"/>
      <c r="D175" s="14"/>
      <c r="E175" s="15"/>
      <c r="F175" s="15"/>
      <c r="G175" s="12"/>
      <c r="H175" s="16"/>
      <c r="I175" s="17">
        <v>0.3125</v>
      </c>
      <c r="J175" s="18" t="s">
        <v>622</v>
      </c>
      <c r="K175" s="18" t="s">
        <v>236</v>
      </c>
      <c r="L175" s="18" t="s">
        <v>62</v>
      </c>
      <c r="M175" s="18" t="s">
        <v>62</v>
      </c>
      <c r="N175" s="18"/>
      <c r="O175" s="18" t="s">
        <v>129</v>
      </c>
      <c r="P175" s="18" t="s">
        <v>120</v>
      </c>
      <c r="Q175" s="19" t="s">
        <v>120</v>
      </c>
      <c r="R175" s="15">
        <f t="shared" si="3"/>
        <v>0</v>
      </c>
      <c r="S175" s="15">
        <v>668.0</v>
      </c>
      <c r="T175" s="15">
        <v>205.0</v>
      </c>
      <c r="U175" s="20">
        <f t="shared" si="4"/>
        <v>0.3068862275</v>
      </c>
      <c r="V175" s="15">
        <f t="shared" si="5"/>
        <v>82</v>
      </c>
      <c r="W175" s="15">
        <v>229.0</v>
      </c>
      <c r="X175" s="20">
        <f t="shared" si="6"/>
        <v>0.3428143713</v>
      </c>
      <c r="Y175" s="15">
        <f t="shared" ref="Y175:Z175" si="354">AE175-W175</f>
        <v>4</v>
      </c>
      <c r="Z175" s="20">
        <f t="shared" si="354"/>
        <v>0.005988023952</v>
      </c>
      <c r="AA175" s="15">
        <v>234.0</v>
      </c>
      <c r="AB175" s="20">
        <f t="shared" si="8"/>
        <v>0.3502994012</v>
      </c>
      <c r="AC175" s="15">
        <f t="shared" ref="AC175:AD175" si="355">AE175-AA175</f>
        <v>-1</v>
      </c>
      <c r="AD175" s="20">
        <f t="shared" si="355"/>
        <v>-0.001497005988</v>
      </c>
      <c r="AE175" s="15">
        <v>233.0</v>
      </c>
      <c r="AF175" s="20">
        <f t="shared" si="10"/>
        <v>0.3488023952</v>
      </c>
      <c r="AG175" s="15">
        <v>233.0</v>
      </c>
      <c r="AH175" s="20">
        <f t="shared" si="11"/>
        <v>0.3488023952</v>
      </c>
      <c r="AI175" s="15">
        <v>287.0</v>
      </c>
      <c r="AJ175" s="15">
        <v>1.0</v>
      </c>
      <c r="AK175" s="21">
        <v>0.0</v>
      </c>
      <c r="AL175" s="22">
        <v>0.431137724550898</v>
      </c>
      <c r="AM175" s="15">
        <v>376.0</v>
      </c>
      <c r="AN175" s="15">
        <v>364.0</v>
      </c>
      <c r="AO175" s="23" t="s">
        <v>64</v>
      </c>
      <c r="AP175" s="23" t="s">
        <v>64</v>
      </c>
      <c r="AQ175" s="13" t="s">
        <v>65</v>
      </c>
      <c r="AR175" s="24" t="s">
        <v>130</v>
      </c>
      <c r="AS175" s="24"/>
      <c r="AT175" s="25" t="s">
        <v>623</v>
      </c>
      <c r="AU175" s="26" t="s">
        <v>68</v>
      </c>
      <c r="AV175" s="27"/>
      <c r="AW175" s="24" t="s">
        <v>79</v>
      </c>
      <c r="AX175" s="28"/>
      <c r="AY175" s="29" t="s">
        <v>110</v>
      </c>
      <c r="AZ175" s="32"/>
      <c r="BA175" s="25" t="s">
        <v>624</v>
      </c>
      <c r="BB175" s="26" t="s">
        <v>72</v>
      </c>
      <c r="BC175" s="27"/>
      <c r="BD175" s="24" t="s">
        <v>73</v>
      </c>
      <c r="BE175" s="27"/>
      <c r="BF175" s="27"/>
      <c r="BG175" s="27"/>
      <c r="BH175" s="27"/>
    </row>
    <row r="176" ht="14.25" customHeight="1">
      <c r="A176" s="119" t="s">
        <v>625</v>
      </c>
      <c r="B176" s="119"/>
      <c r="C176" s="120"/>
      <c r="D176" s="14"/>
      <c r="E176" s="15"/>
      <c r="F176" s="15"/>
      <c r="G176" s="12"/>
      <c r="H176" s="16"/>
      <c r="I176" s="17">
        <v>0.0</v>
      </c>
      <c r="J176" s="18"/>
      <c r="K176" s="18"/>
      <c r="L176" s="18" t="s">
        <v>84</v>
      </c>
      <c r="M176" s="18" t="s">
        <v>84</v>
      </c>
      <c r="N176" s="18"/>
      <c r="O176" s="18" t="s">
        <v>62</v>
      </c>
      <c r="P176" s="18" t="s">
        <v>128</v>
      </c>
      <c r="Q176" s="18" t="s">
        <v>129</v>
      </c>
      <c r="R176" s="15">
        <f t="shared" si="3"/>
        <v>0</v>
      </c>
      <c r="S176" s="15">
        <v>46.0</v>
      </c>
      <c r="T176" s="15">
        <v>0.0</v>
      </c>
      <c r="U176" s="20">
        <f t="shared" si="4"/>
        <v>0</v>
      </c>
      <c r="V176" s="15">
        <f t="shared" si="5"/>
        <v>3</v>
      </c>
      <c r="W176" s="15">
        <v>14.0</v>
      </c>
      <c r="X176" s="20">
        <f t="shared" si="6"/>
        <v>0.3043478261</v>
      </c>
      <c r="Y176" s="15">
        <f t="shared" ref="Y176:Z176" si="356">AE176-W176</f>
        <v>1</v>
      </c>
      <c r="Z176" s="20">
        <f t="shared" si="356"/>
        <v>0.02173913043</v>
      </c>
      <c r="AA176" s="15">
        <v>14.0</v>
      </c>
      <c r="AB176" s="20">
        <f t="shared" si="8"/>
        <v>0.3043478261</v>
      </c>
      <c r="AC176" s="15">
        <f t="shared" ref="AC176:AD176" si="357">AE176-AA176</f>
        <v>1</v>
      </c>
      <c r="AD176" s="20">
        <f t="shared" si="357"/>
        <v>0.02173913043</v>
      </c>
      <c r="AE176" s="15">
        <v>15.0</v>
      </c>
      <c r="AF176" s="20">
        <f t="shared" si="10"/>
        <v>0.3260869565</v>
      </c>
      <c r="AG176" s="15">
        <v>15.0</v>
      </c>
      <c r="AH176" s="20">
        <f t="shared" si="11"/>
        <v>0.3260869565</v>
      </c>
      <c r="AI176" s="15">
        <v>3.0</v>
      </c>
      <c r="AJ176" s="15">
        <v>12.0</v>
      </c>
      <c r="AK176" s="21">
        <v>0.0</v>
      </c>
      <c r="AL176" s="22">
        <v>0.326086956521739</v>
      </c>
      <c r="AM176" s="15">
        <v>24.0</v>
      </c>
      <c r="AN176" s="15">
        <v>31.0</v>
      </c>
      <c r="AO176" s="23" t="s">
        <v>63</v>
      </c>
      <c r="AP176" s="23" t="s">
        <v>64</v>
      </c>
      <c r="AQ176" s="13" t="s">
        <v>108</v>
      </c>
      <c r="AR176" s="24" t="s">
        <v>130</v>
      </c>
      <c r="AS176" s="24"/>
      <c r="AT176" s="25" t="s">
        <v>626</v>
      </c>
      <c r="AU176" s="26" t="s">
        <v>68</v>
      </c>
      <c r="AV176" s="27"/>
      <c r="AW176" s="24" t="s">
        <v>100</v>
      </c>
      <c r="AX176" s="28"/>
      <c r="AY176" s="29" t="s">
        <v>173</v>
      </c>
      <c r="AZ176" s="121"/>
      <c r="BA176" s="28"/>
      <c r="BB176" s="26"/>
      <c r="BC176" s="27"/>
      <c r="BD176" s="24"/>
      <c r="BE176" s="27"/>
      <c r="BF176" s="27"/>
      <c r="BG176" s="27"/>
      <c r="BH176" s="27"/>
    </row>
    <row r="177" ht="14.25" customHeight="1">
      <c r="A177" s="12" t="s">
        <v>627</v>
      </c>
      <c r="B177" s="12"/>
      <c r="C177" s="13"/>
      <c r="D177" s="14"/>
      <c r="E177" s="15"/>
      <c r="F177" s="15"/>
      <c r="G177" s="12"/>
      <c r="H177" s="16"/>
      <c r="I177" s="17">
        <v>0.0</v>
      </c>
      <c r="J177" s="18"/>
      <c r="K177" s="18"/>
      <c r="L177" s="18" t="s">
        <v>84</v>
      </c>
      <c r="M177" s="18" t="s">
        <v>84</v>
      </c>
      <c r="N177" s="18"/>
      <c r="O177" s="18" t="s">
        <v>60</v>
      </c>
      <c r="P177" s="18" t="s">
        <v>60</v>
      </c>
      <c r="Q177" s="19" t="s">
        <v>60</v>
      </c>
      <c r="R177" s="15">
        <f t="shared" si="3"/>
        <v>0</v>
      </c>
      <c r="S177" s="15">
        <v>16.0</v>
      </c>
      <c r="T177" s="15">
        <v>0.0</v>
      </c>
      <c r="U177" s="20">
        <f t="shared" si="4"/>
        <v>0</v>
      </c>
      <c r="V177" s="15">
        <f t="shared" si="5"/>
        <v>16</v>
      </c>
      <c r="W177" s="15">
        <v>16.0</v>
      </c>
      <c r="X177" s="20">
        <f t="shared" si="6"/>
        <v>1</v>
      </c>
      <c r="Y177" s="15">
        <f t="shared" ref="Y177:Z177" si="358">AE177-W177</f>
        <v>0</v>
      </c>
      <c r="Z177" s="20">
        <f t="shared" si="358"/>
        <v>0</v>
      </c>
      <c r="AA177" s="15">
        <v>16.0</v>
      </c>
      <c r="AB177" s="20">
        <f t="shared" si="8"/>
        <v>1</v>
      </c>
      <c r="AC177" s="15">
        <f t="shared" ref="AC177:AD177" si="359">AE177-AA177</f>
        <v>0</v>
      </c>
      <c r="AD177" s="20">
        <f t="shared" si="359"/>
        <v>0</v>
      </c>
      <c r="AE177" s="15">
        <v>16.0</v>
      </c>
      <c r="AF177" s="20">
        <f t="shared" si="10"/>
        <v>1</v>
      </c>
      <c r="AG177" s="15">
        <v>16.0</v>
      </c>
      <c r="AH177" s="20">
        <f t="shared" si="11"/>
        <v>1</v>
      </c>
      <c r="AI177" s="15">
        <v>16.0</v>
      </c>
      <c r="AJ177" s="15">
        <v>0.0</v>
      </c>
      <c r="AK177" s="21">
        <v>0.0</v>
      </c>
      <c r="AL177" s="22">
        <v>1.0</v>
      </c>
      <c r="AM177" s="15">
        <v>0.0</v>
      </c>
      <c r="AN177" s="15">
        <v>0.0</v>
      </c>
      <c r="AO177" s="23" t="s">
        <v>63</v>
      </c>
      <c r="AP177" s="23" t="s">
        <v>64</v>
      </c>
      <c r="AQ177" s="13" t="s">
        <v>104</v>
      </c>
      <c r="AR177" s="24" t="s">
        <v>66</v>
      </c>
      <c r="AS177" s="24"/>
      <c r="AT177" s="25" t="s">
        <v>628</v>
      </c>
      <c r="AU177" s="26" t="s">
        <v>68</v>
      </c>
      <c r="AV177" s="27"/>
      <c r="AW177" s="24" t="s">
        <v>69</v>
      </c>
      <c r="AX177" s="27"/>
      <c r="AY177" s="29" t="s">
        <v>70</v>
      </c>
      <c r="AZ177" s="32"/>
      <c r="BA177" s="25" t="s">
        <v>629</v>
      </c>
      <c r="BB177" s="26" t="s">
        <v>72</v>
      </c>
      <c r="BC177" s="27"/>
      <c r="BD177" s="24" t="s">
        <v>112</v>
      </c>
      <c r="BE177" s="25"/>
      <c r="BF177" s="27"/>
      <c r="BG177" s="27"/>
      <c r="BH177" s="27"/>
    </row>
    <row r="178" ht="14.25" customHeight="1">
      <c r="A178" s="12" t="s">
        <v>630</v>
      </c>
      <c r="B178" s="12"/>
      <c r="C178" s="13"/>
      <c r="D178" s="14"/>
      <c r="E178" s="15"/>
      <c r="F178" s="15"/>
      <c r="G178" s="12"/>
      <c r="H178" s="16"/>
      <c r="I178" s="17">
        <v>1.0</v>
      </c>
      <c r="J178" s="18" t="s">
        <v>631</v>
      </c>
      <c r="K178" s="18" t="s">
        <v>129</v>
      </c>
      <c r="L178" s="18" t="s">
        <v>61</v>
      </c>
      <c r="M178" s="18" t="s">
        <v>632</v>
      </c>
      <c r="N178" s="18"/>
      <c r="O178" s="18" t="s">
        <v>400</v>
      </c>
      <c r="P178" s="18" t="s">
        <v>129</v>
      </c>
      <c r="Q178" s="18" t="s">
        <v>129</v>
      </c>
      <c r="R178" s="15">
        <f t="shared" si="3"/>
        <v>0</v>
      </c>
      <c r="S178" s="15">
        <v>20.0</v>
      </c>
      <c r="T178" s="15">
        <v>20.0</v>
      </c>
      <c r="U178" s="20">
        <f t="shared" si="4"/>
        <v>1</v>
      </c>
      <c r="V178" s="15">
        <f t="shared" si="5"/>
        <v>0</v>
      </c>
      <c r="W178" s="15">
        <v>0.0</v>
      </c>
      <c r="X178" s="20">
        <f t="shared" si="6"/>
        <v>0</v>
      </c>
      <c r="Y178" s="15">
        <f t="shared" ref="Y178:Z178" si="360">AE178-W178</f>
        <v>20</v>
      </c>
      <c r="Z178" s="20">
        <f t="shared" si="360"/>
        <v>1</v>
      </c>
      <c r="AA178" s="15">
        <v>0.0</v>
      </c>
      <c r="AB178" s="20">
        <f t="shared" si="8"/>
        <v>0</v>
      </c>
      <c r="AC178" s="15">
        <f t="shared" ref="AC178:AD178" si="361">AE178-AA178</f>
        <v>20</v>
      </c>
      <c r="AD178" s="20">
        <f t="shared" si="361"/>
        <v>1</v>
      </c>
      <c r="AE178" s="15">
        <v>20.0</v>
      </c>
      <c r="AF178" s="20">
        <f t="shared" si="10"/>
        <v>1</v>
      </c>
      <c r="AG178" s="15">
        <v>20.0</v>
      </c>
      <c r="AH178" s="20">
        <f t="shared" si="11"/>
        <v>1</v>
      </c>
      <c r="AI178" s="15">
        <v>20.0</v>
      </c>
      <c r="AJ178" s="15">
        <v>0.0</v>
      </c>
      <c r="AK178" s="21">
        <v>0.0</v>
      </c>
      <c r="AL178" s="22">
        <v>1.0</v>
      </c>
      <c r="AM178" s="15">
        <v>0.0</v>
      </c>
      <c r="AN178" s="15">
        <v>0.0</v>
      </c>
      <c r="AO178" s="23" t="s">
        <v>63</v>
      </c>
      <c r="AP178" s="23" t="s">
        <v>64</v>
      </c>
      <c r="AQ178" s="13" t="s">
        <v>108</v>
      </c>
      <c r="AR178" s="24" t="s">
        <v>66</v>
      </c>
      <c r="AS178" s="24"/>
      <c r="AT178" s="25" t="s">
        <v>633</v>
      </c>
      <c r="AU178" s="26" t="s">
        <v>68</v>
      </c>
      <c r="AV178" s="27"/>
      <c r="AW178" s="24" t="s">
        <v>69</v>
      </c>
      <c r="AX178" s="28"/>
      <c r="AY178" s="29" t="s">
        <v>634</v>
      </c>
      <c r="AZ178" s="30"/>
      <c r="BA178" s="25" t="s">
        <v>635</v>
      </c>
      <c r="BB178" s="26" t="s">
        <v>72</v>
      </c>
      <c r="BC178" s="27"/>
      <c r="BD178" s="24" t="s">
        <v>307</v>
      </c>
      <c r="BE178" s="25" t="s">
        <v>636</v>
      </c>
      <c r="BF178" s="27"/>
      <c r="BG178" s="27"/>
      <c r="BH178" s="27"/>
    </row>
    <row r="179" ht="14.25" customHeight="1">
      <c r="A179" s="12" t="s">
        <v>637</v>
      </c>
      <c r="B179" s="12"/>
      <c r="C179" s="13"/>
      <c r="D179" s="14"/>
      <c r="E179" s="15"/>
      <c r="F179" s="19"/>
      <c r="G179" s="12"/>
      <c r="H179" s="16"/>
      <c r="I179" s="17">
        <v>1.0</v>
      </c>
      <c r="J179" s="18" t="s">
        <v>638</v>
      </c>
      <c r="K179" s="18" t="s">
        <v>270</v>
      </c>
      <c r="L179" s="18" t="s">
        <v>60</v>
      </c>
      <c r="M179" s="18" t="s">
        <v>60</v>
      </c>
      <c r="N179" s="18"/>
      <c r="O179" s="18" t="s">
        <v>60</v>
      </c>
      <c r="P179" s="18" t="s">
        <v>60</v>
      </c>
      <c r="Q179" s="19" t="s">
        <v>60</v>
      </c>
      <c r="R179" s="15">
        <f t="shared" si="3"/>
        <v>0</v>
      </c>
      <c r="S179" s="15">
        <v>37.0</v>
      </c>
      <c r="T179" s="15">
        <v>37.0</v>
      </c>
      <c r="U179" s="20">
        <f t="shared" si="4"/>
        <v>1</v>
      </c>
      <c r="V179" s="15">
        <f t="shared" si="5"/>
        <v>0</v>
      </c>
      <c r="W179" s="15">
        <v>37.0</v>
      </c>
      <c r="X179" s="20">
        <f t="shared" si="6"/>
        <v>1</v>
      </c>
      <c r="Y179" s="15">
        <f t="shared" ref="Y179:Z179" si="362">AE179-W179</f>
        <v>0</v>
      </c>
      <c r="Z179" s="20">
        <f t="shared" si="362"/>
        <v>0</v>
      </c>
      <c r="AA179" s="15">
        <v>37.0</v>
      </c>
      <c r="AB179" s="20">
        <f t="shared" si="8"/>
        <v>1</v>
      </c>
      <c r="AC179" s="15">
        <f t="shared" ref="AC179:AD179" si="363">AE179-AA179</f>
        <v>0</v>
      </c>
      <c r="AD179" s="20">
        <f t="shared" si="363"/>
        <v>0</v>
      </c>
      <c r="AE179" s="15">
        <v>37.0</v>
      </c>
      <c r="AF179" s="20">
        <f t="shared" si="10"/>
        <v>1</v>
      </c>
      <c r="AG179" s="15">
        <v>37.0</v>
      </c>
      <c r="AH179" s="20">
        <f t="shared" si="11"/>
        <v>1</v>
      </c>
      <c r="AI179" s="15">
        <v>37.0</v>
      </c>
      <c r="AJ179" s="15">
        <v>0.0</v>
      </c>
      <c r="AK179" s="21">
        <v>0.0</v>
      </c>
      <c r="AL179" s="22">
        <v>1.0</v>
      </c>
      <c r="AM179" s="15">
        <v>0.0</v>
      </c>
      <c r="AN179" s="15">
        <v>0.0</v>
      </c>
      <c r="AO179" s="23" t="s">
        <v>64</v>
      </c>
      <c r="AP179" s="23" t="s">
        <v>64</v>
      </c>
      <c r="AQ179" s="13" t="s">
        <v>65</v>
      </c>
      <c r="AR179" s="24" t="s">
        <v>66</v>
      </c>
      <c r="AS179" s="24"/>
      <c r="AT179" s="25" t="s">
        <v>639</v>
      </c>
      <c r="AU179" s="26" t="s">
        <v>68</v>
      </c>
      <c r="AV179" s="27"/>
      <c r="AW179" s="24" t="s">
        <v>100</v>
      </c>
      <c r="AX179" s="28"/>
      <c r="AY179" s="29" t="s">
        <v>70</v>
      </c>
      <c r="AZ179" s="32"/>
      <c r="BA179" s="25" t="s">
        <v>640</v>
      </c>
      <c r="BB179" s="26" t="s">
        <v>386</v>
      </c>
      <c r="BC179" s="27"/>
      <c r="BD179" s="24"/>
      <c r="BE179" s="27"/>
      <c r="BF179" s="27"/>
      <c r="BG179" s="27"/>
      <c r="BH179" s="27"/>
    </row>
    <row r="180" ht="14.25" customHeight="1">
      <c r="A180" s="12" t="s">
        <v>641</v>
      </c>
      <c r="B180" s="12"/>
      <c r="C180" s="13"/>
      <c r="D180" s="14"/>
      <c r="E180" s="15"/>
      <c r="F180" s="15"/>
      <c r="G180" s="12"/>
      <c r="H180" s="16"/>
      <c r="I180" s="17">
        <v>1.0</v>
      </c>
      <c r="J180" s="18"/>
      <c r="K180" s="18" t="s">
        <v>151</v>
      </c>
      <c r="L180" s="18" t="s">
        <v>61</v>
      </c>
      <c r="M180" s="18" t="s">
        <v>60</v>
      </c>
      <c r="N180" s="18"/>
      <c r="O180" s="18" t="s">
        <v>60</v>
      </c>
      <c r="P180" s="18" t="s">
        <v>60</v>
      </c>
      <c r="Q180" s="19" t="s">
        <v>60</v>
      </c>
      <c r="R180" s="15">
        <f t="shared" si="3"/>
        <v>0</v>
      </c>
      <c r="S180" s="15">
        <v>17.0</v>
      </c>
      <c r="T180" s="15">
        <v>17.0</v>
      </c>
      <c r="U180" s="20">
        <f t="shared" si="4"/>
        <v>1</v>
      </c>
      <c r="V180" s="15">
        <f t="shared" si="5"/>
        <v>0</v>
      </c>
      <c r="W180" s="15">
        <v>17.0</v>
      </c>
      <c r="X180" s="20">
        <f t="shared" si="6"/>
        <v>1</v>
      </c>
      <c r="Y180" s="15">
        <f t="shared" ref="Y180:Z180" si="364">AE180-W180</f>
        <v>0</v>
      </c>
      <c r="Z180" s="20">
        <f t="shared" si="364"/>
        <v>0</v>
      </c>
      <c r="AA180" s="15">
        <v>17.0</v>
      </c>
      <c r="AB180" s="20">
        <f t="shared" si="8"/>
        <v>1</v>
      </c>
      <c r="AC180" s="15">
        <f t="shared" ref="AC180:AD180" si="365">AE180-AA180</f>
        <v>0</v>
      </c>
      <c r="AD180" s="20">
        <f t="shared" si="365"/>
        <v>0</v>
      </c>
      <c r="AE180" s="15">
        <v>17.0</v>
      </c>
      <c r="AF180" s="20">
        <f t="shared" si="10"/>
        <v>1</v>
      </c>
      <c r="AG180" s="15">
        <v>17.0</v>
      </c>
      <c r="AH180" s="20">
        <f t="shared" si="11"/>
        <v>1</v>
      </c>
      <c r="AI180" s="15">
        <v>17.0</v>
      </c>
      <c r="AJ180" s="15">
        <v>0.0</v>
      </c>
      <c r="AK180" s="21">
        <v>0.0</v>
      </c>
      <c r="AL180" s="22">
        <v>1.0</v>
      </c>
      <c r="AM180" s="15">
        <v>0.0</v>
      </c>
      <c r="AN180" s="15">
        <v>0.0</v>
      </c>
      <c r="AO180" s="23" t="s">
        <v>63</v>
      </c>
      <c r="AP180" s="23" t="s">
        <v>64</v>
      </c>
      <c r="AQ180" s="13" t="s">
        <v>93</v>
      </c>
      <c r="AR180" s="24" t="s">
        <v>66</v>
      </c>
      <c r="AS180" s="24"/>
      <c r="AT180" s="25" t="s">
        <v>642</v>
      </c>
      <c r="AU180" s="26" t="s">
        <v>68</v>
      </c>
      <c r="AV180" s="27"/>
      <c r="AW180" s="24" t="s">
        <v>69</v>
      </c>
      <c r="AX180" s="28"/>
      <c r="AY180" s="29" t="s">
        <v>70</v>
      </c>
      <c r="AZ180" s="30"/>
      <c r="BA180" s="25" t="s">
        <v>643</v>
      </c>
      <c r="BB180" s="26" t="s">
        <v>72</v>
      </c>
      <c r="BC180" s="27"/>
      <c r="BD180" s="24" t="s">
        <v>112</v>
      </c>
      <c r="BE180" s="27"/>
      <c r="BF180" s="27"/>
      <c r="BG180" s="27"/>
      <c r="BH180" s="27"/>
    </row>
    <row r="181" ht="14.25" customHeight="1">
      <c r="A181" s="12" t="s">
        <v>644</v>
      </c>
      <c r="B181" s="12"/>
      <c r="C181" s="13"/>
      <c r="D181" s="14"/>
      <c r="E181" s="15"/>
      <c r="F181" s="15"/>
      <c r="G181" s="12"/>
      <c r="H181" s="16"/>
      <c r="I181" s="17">
        <v>0.0476</v>
      </c>
      <c r="J181" s="18"/>
      <c r="K181" s="18"/>
      <c r="L181" s="18" t="s">
        <v>84</v>
      </c>
      <c r="M181" s="18" t="s">
        <v>62</v>
      </c>
      <c r="N181" s="18"/>
      <c r="O181" s="18" t="s">
        <v>60</v>
      </c>
      <c r="P181" s="18" t="s">
        <v>60</v>
      </c>
      <c r="Q181" s="19" t="s">
        <v>60</v>
      </c>
      <c r="R181" s="15">
        <f t="shared" si="3"/>
        <v>0</v>
      </c>
      <c r="S181" s="15">
        <v>17.0</v>
      </c>
      <c r="T181" s="15">
        <v>0.0</v>
      </c>
      <c r="U181" s="20">
        <f t="shared" si="4"/>
        <v>0</v>
      </c>
      <c r="V181" s="15">
        <f t="shared" si="5"/>
        <v>17</v>
      </c>
      <c r="W181" s="15">
        <v>17.0</v>
      </c>
      <c r="X181" s="20">
        <f t="shared" si="6"/>
        <v>1</v>
      </c>
      <c r="Y181" s="15">
        <f t="shared" ref="Y181:Z181" si="366">AE181-W181</f>
        <v>0</v>
      </c>
      <c r="Z181" s="20">
        <f t="shared" si="366"/>
        <v>0</v>
      </c>
      <c r="AA181" s="15">
        <v>17.0</v>
      </c>
      <c r="AB181" s="20">
        <f t="shared" si="8"/>
        <v>1</v>
      </c>
      <c r="AC181" s="15">
        <f t="shared" ref="AC181:AD181" si="367">AE181-AA181</f>
        <v>0</v>
      </c>
      <c r="AD181" s="20">
        <f t="shared" si="367"/>
        <v>0</v>
      </c>
      <c r="AE181" s="15">
        <v>17.0</v>
      </c>
      <c r="AF181" s="20">
        <f t="shared" si="10"/>
        <v>1</v>
      </c>
      <c r="AG181" s="15">
        <v>17.0</v>
      </c>
      <c r="AH181" s="20">
        <f t="shared" si="11"/>
        <v>1</v>
      </c>
      <c r="AI181" s="15">
        <v>17.0</v>
      </c>
      <c r="AJ181" s="15">
        <v>0.0</v>
      </c>
      <c r="AK181" s="21">
        <v>0.0</v>
      </c>
      <c r="AL181" s="22">
        <v>1.0</v>
      </c>
      <c r="AM181" s="15">
        <v>0.0</v>
      </c>
      <c r="AN181" s="15">
        <v>0.0</v>
      </c>
      <c r="AO181" s="23" t="s">
        <v>63</v>
      </c>
      <c r="AP181" s="23" t="s">
        <v>64</v>
      </c>
      <c r="AQ181" s="13" t="s">
        <v>108</v>
      </c>
      <c r="AR181" s="24" t="s">
        <v>66</v>
      </c>
      <c r="AS181" s="24"/>
      <c r="AT181" s="25" t="s">
        <v>645</v>
      </c>
      <c r="AU181" s="26" t="s">
        <v>68</v>
      </c>
      <c r="AV181" s="27"/>
      <c r="AW181" s="24" t="s">
        <v>69</v>
      </c>
      <c r="AX181" s="28"/>
      <c r="AY181" s="29" t="s">
        <v>173</v>
      </c>
      <c r="AZ181" s="29"/>
      <c r="BA181" s="28"/>
      <c r="BB181" s="26" t="s">
        <v>90</v>
      </c>
      <c r="BC181" s="27"/>
      <c r="BD181" s="24" t="s">
        <v>91</v>
      </c>
      <c r="BE181" s="24"/>
      <c r="BF181" s="27"/>
      <c r="BG181" s="27"/>
      <c r="BH181" s="27"/>
    </row>
    <row r="182" ht="14.25" customHeight="1">
      <c r="A182" s="12" t="s">
        <v>646</v>
      </c>
      <c r="B182" s="12"/>
      <c r="C182" s="13"/>
      <c r="D182" s="14"/>
      <c r="E182" s="15"/>
      <c r="F182" s="15"/>
      <c r="G182" s="12"/>
      <c r="H182" s="16"/>
      <c r="I182" s="17">
        <v>1.0</v>
      </c>
      <c r="J182" s="18" t="s">
        <v>638</v>
      </c>
      <c r="K182" s="18" t="s">
        <v>270</v>
      </c>
      <c r="L182" s="18" t="s">
        <v>60</v>
      </c>
      <c r="M182" s="18" t="s">
        <v>60</v>
      </c>
      <c r="N182" s="18"/>
      <c r="O182" s="18" t="s">
        <v>60</v>
      </c>
      <c r="P182" s="18" t="s">
        <v>60</v>
      </c>
      <c r="Q182" s="19" t="s">
        <v>60</v>
      </c>
      <c r="R182" s="15">
        <f t="shared" si="3"/>
        <v>0</v>
      </c>
      <c r="S182" s="15">
        <v>16.0</v>
      </c>
      <c r="T182" s="15">
        <v>16.0</v>
      </c>
      <c r="U182" s="20">
        <f t="shared" si="4"/>
        <v>1</v>
      </c>
      <c r="V182" s="15">
        <f t="shared" si="5"/>
        <v>0</v>
      </c>
      <c r="W182" s="15">
        <v>16.0</v>
      </c>
      <c r="X182" s="20">
        <f t="shared" si="6"/>
        <v>1</v>
      </c>
      <c r="Y182" s="15">
        <f t="shared" ref="Y182:Z182" si="368">AE182-W182</f>
        <v>0</v>
      </c>
      <c r="Z182" s="20">
        <f t="shared" si="368"/>
        <v>0</v>
      </c>
      <c r="AA182" s="15">
        <v>16.0</v>
      </c>
      <c r="AB182" s="20">
        <f t="shared" si="8"/>
        <v>1</v>
      </c>
      <c r="AC182" s="15">
        <f t="shared" ref="AC182:AD182" si="369">AE182-AA182</f>
        <v>0</v>
      </c>
      <c r="AD182" s="20">
        <f t="shared" si="369"/>
        <v>0</v>
      </c>
      <c r="AE182" s="15">
        <v>16.0</v>
      </c>
      <c r="AF182" s="20">
        <f t="shared" si="10"/>
        <v>1</v>
      </c>
      <c r="AG182" s="15" t="e">
        <v>#N/A</v>
      </c>
      <c r="AH182" s="20" t="str">
        <f t="shared" si="11"/>
        <v>#N/A</v>
      </c>
      <c r="AI182" s="15">
        <v>16.0</v>
      </c>
      <c r="AJ182" s="15">
        <v>0.0</v>
      </c>
      <c r="AK182" s="21">
        <v>0.0</v>
      </c>
      <c r="AL182" s="22">
        <v>1.0</v>
      </c>
      <c r="AM182" s="15">
        <v>0.0</v>
      </c>
      <c r="AN182" s="15">
        <v>0.0</v>
      </c>
      <c r="AO182" s="23" t="s">
        <v>63</v>
      </c>
      <c r="AP182" s="23" t="s">
        <v>64</v>
      </c>
      <c r="AQ182" s="13" t="s">
        <v>104</v>
      </c>
      <c r="AR182" s="24" t="s">
        <v>66</v>
      </c>
      <c r="AS182" s="24"/>
      <c r="AT182" s="52" t="s">
        <v>647</v>
      </c>
      <c r="AU182" s="26" t="s">
        <v>118</v>
      </c>
      <c r="AV182" s="27"/>
      <c r="AW182" s="24" t="s">
        <v>133</v>
      </c>
      <c r="AX182" s="42">
        <v>46002.0</v>
      </c>
      <c r="AY182" s="29" t="s">
        <v>173</v>
      </c>
      <c r="AZ182" s="29"/>
      <c r="BA182" s="28"/>
      <c r="BB182" s="26"/>
      <c r="BC182" s="27"/>
      <c r="BD182" s="24"/>
      <c r="BE182" s="24"/>
      <c r="BF182" s="27"/>
      <c r="BG182" s="27"/>
      <c r="BH182" s="27"/>
    </row>
    <row r="183" ht="14.25" customHeight="1">
      <c r="A183" s="12" t="s">
        <v>648</v>
      </c>
      <c r="B183" s="12"/>
      <c r="C183" s="13"/>
      <c r="D183" s="14"/>
      <c r="E183" s="15"/>
      <c r="F183" s="15"/>
      <c r="G183" s="12"/>
      <c r="H183" s="16"/>
      <c r="I183" s="17">
        <v>0.0</v>
      </c>
      <c r="J183" s="18"/>
      <c r="K183" s="18"/>
      <c r="L183" s="18" t="s">
        <v>84</v>
      </c>
      <c r="M183" s="18" t="s">
        <v>84</v>
      </c>
      <c r="N183" s="18"/>
      <c r="O183" s="18" t="s">
        <v>84</v>
      </c>
      <c r="P183" s="18" t="s">
        <v>84</v>
      </c>
      <c r="Q183" s="19" t="s">
        <v>84</v>
      </c>
      <c r="R183" s="15">
        <f t="shared" si="3"/>
        <v>0</v>
      </c>
      <c r="S183" s="15">
        <v>45.0</v>
      </c>
      <c r="T183" s="15">
        <v>0.0</v>
      </c>
      <c r="U183" s="20">
        <f t="shared" si="4"/>
        <v>0</v>
      </c>
      <c r="V183" s="15">
        <f t="shared" si="5"/>
        <v>24</v>
      </c>
      <c r="W183" s="15">
        <v>0.0</v>
      </c>
      <c r="X183" s="20">
        <f t="shared" si="6"/>
        <v>0</v>
      </c>
      <c r="Y183" s="15">
        <f t="shared" ref="Y183:Z183" si="370">AE183-W183</f>
        <v>24</v>
      </c>
      <c r="Z183" s="20">
        <f t="shared" si="370"/>
        <v>0.5333333333</v>
      </c>
      <c r="AA183" s="15">
        <v>0.0</v>
      </c>
      <c r="AB183" s="20">
        <f t="shared" si="8"/>
        <v>0</v>
      </c>
      <c r="AC183" s="15">
        <f t="shared" ref="AC183:AD183" si="371">AE183-AA183</f>
        <v>24</v>
      </c>
      <c r="AD183" s="20">
        <f t="shared" si="371"/>
        <v>0.5333333333</v>
      </c>
      <c r="AE183" s="15">
        <v>24.0</v>
      </c>
      <c r="AF183" s="20">
        <f t="shared" si="10"/>
        <v>0.5333333333</v>
      </c>
      <c r="AG183" s="15">
        <v>24.0</v>
      </c>
      <c r="AH183" s="20">
        <f t="shared" si="11"/>
        <v>0.5333333333</v>
      </c>
      <c r="AI183" s="15">
        <v>24.0</v>
      </c>
      <c r="AJ183" s="15">
        <v>0.0</v>
      </c>
      <c r="AK183" s="21">
        <v>0.0</v>
      </c>
      <c r="AL183" s="22">
        <v>0.533333333333333</v>
      </c>
      <c r="AM183" s="15">
        <v>21.0</v>
      </c>
      <c r="AN183" s="15">
        <v>21.0</v>
      </c>
      <c r="AO183" s="23" t="s">
        <v>63</v>
      </c>
      <c r="AP183" s="23" t="s">
        <v>64</v>
      </c>
      <c r="AQ183" s="13" t="s">
        <v>65</v>
      </c>
      <c r="AR183" s="24" t="s">
        <v>66</v>
      </c>
      <c r="AS183" s="24"/>
      <c r="AT183" s="25" t="s">
        <v>649</v>
      </c>
      <c r="AU183" s="26" t="s">
        <v>68</v>
      </c>
      <c r="AV183" s="36"/>
      <c r="AW183" s="24" t="s">
        <v>79</v>
      </c>
      <c r="AX183" s="28"/>
      <c r="AY183" s="29" t="s">
        <v>89</v>
      </c>
      <c r="AZ183" s="29"/>
      <c r="BA183" s="28"/>
      <c r="BB183" s="26" t="s">
        <v>90</v>
      </c>
      <c r="BC183" s="27"/>
      <c r="BD183" s="34" t="s">
        <v>91</v>
      </c>
      <c r="BE183" s="34"/>
      <c r="BF183" s="27"/>
      <c r="BG183" s="27"/>
      <c r="BH183" s="27"/>
    </row>
    <row r="184" ht="14.25" customHeight="1">
      <c r="A184" s="12" t="s">
        <v>650</v>
      </c>
      <c r="B184" s="12"/>
      <c r="C184" s="13"/>
      <c r="D184" s="14"/>
      <c r="E184" s="15"/>
      <c r="F184" s="15"/>
      <c r="G184" s="12"/>
      <c r="H184" s="16"/>
      <c r="I184" s="17">
        <v>0.0</v>
      </c>
      <c r="J184" s="18"/>
      <c r="K184" s="18"/>
      <c r="L184" s="18" t="s">
        <v>84</v>
      </c>
      <c r="M184" s="18" t="s">
        <v>84</v>
      </c>
      <c r="N184" s="18"/>
      <c r="O184" s="18" t="s">
        <v>84</v>
      </c>
      <c r="P184" s="18" t="s">
        <v>86</v>
      </c>
      <c r="Q184" s="18" t="s">
        <v>129</v>
      </c>
      <c r="R184" s="15">
        <f t="shared" si="3"/>
        <v>0</v>
      </c>
      <c r="S184" s="15">
        <v>34.0</v>
      </c>
      <c r="T184" s="15">
        <v>0.0</v>
      </c>
      <c r="U184" s="20">
        <f t="shared" si="4"/>
        <v>0</v>
      </c>
      <c r="V184" s="15">
        <f t="shared" si="5"/>
        <v>19</v>
      </c>
      <c r="W184" s="15">
        <v>0.0</v>
      </c>
      <c r="X184" s="20">
        <f t="shared" si="6"/>
        <v>0</v>
      </c>
      <c r="Y184" s="15">
        <f t="shared" ref="Y184:Z184" si="372">AE184-W184</f>
        <v>12</v>
      </c>
      <c r="Z184" s="20">
        <f t="shared" si="372"/>
        <v>0.3529411765</v>
      </c>
      <c r="AA184" s="15">
        <v>1.0</v>
      </c>
      <c r="AB184" s="20">
        <f t="shared" si="8"/>
        <v>0.02941176471</v>
      </c>
      <c r="AC184" s="15">
        <f t="shared" ref="AC184:AD184" si="373">AE184-AA184</f>
        <v>11</v>
      </c>
      <c r="AD184" s="20">
        <f t="shared" si="373"/>
        <v>0.3235294118</v>
      </c>
      <c r="AE184" s="15">
        <v>12.0</v>
      </c>
      <c r="AF184" s="20">
        <f t="shared" si="10"/>
        <v>0.3529411765</v>
      </c>
      <c r="AG184" s="15">
        <v>19.0</v>
      </c>
      <c r="AH184" s="20">
        <f t="shared" si="11"/>
        <v>0.5588235294</v>
      </c>
      <c r="AI184" s="15">
        <v>19.0</v>
      </c>
      <c r="AJ184" s="15">
        <v>0.0</v>
      </c>
      <c r="AK184" s="21">
        <v>0.0</v>
      </c>
      <c r="AL184" s="22">
        <v>0.558823529411765</v>
      </c>
      <c r="AM184" s="15">
        <v>0.0</v>
      </c>
      <c r="AN184" s="15">
        <v>15.0</v>
      </c>
      <c r="AO184" s="23" t="s">
        <v>63</v>
      </c>
      <c r="AP184" s="23" t="s">
        <v>64</v>
      </c>
      <c r="AQ184" s="13" t="s">
        <v>93</v>
      </c>
      <c r="AR184" s="24" t="s">
        <v>130</v>
      </c>
      <c r="AS184" s="24"/>
      <c r="AT184" s="25" t="s">
        <v>651</v>
      </c>
      <c r="AU184" s="26" t="s">
        <v>68</v>
      </c>
      <c r="AV184" s="27"/>
      <c r="AW184" s="24" t="s">
        <v>79</v>
      </c>
      <c r="AX184" s="28"/>
      <c r="AY184" s="29" t="s">
        <v>89</v>
      </c>
      <c r="AZ184" s="29"/>
      <c r="BA184" s="28"/>
      <c r="BB184" s="26" t="s">
        <v>90</v>
      </c>
      <c r="BC184" s="27"/>
      <c r="BD184" s="34" t="s">
        <v>91</v>
      </c>
      <c r="BE184" s="34"/>
      <c r="BF184" s="27"/>
      <c r="BG184" s="27"/>
      <c r="BH184" s="27"/>
    </row>
    <row r="185" ht="14.25" customHeight="1">
      <c r="A185" s="12" t="s">
        <v>652</v>
      </c>
      <c r="B185" s="12"/>
      <c r="C185" s="13"/>
      <c r="D185" s="14"/>
      <c r="E185" s="15"/>
      <c r="F185" s="15"/>
      <c r="G185" s="12"/>
      <c r="H185" s="16"/>
      <c r="I185" s="17">
        <v>0.0</v>
      </c>
      <c r="J185" s="18"/>
      <c r="K185" s="18"/>
      <c r="L185" s="18" t="s">
        <v>84</v>
      </c>
      <c r="M185" s="18" t="s">
        <v>84</v>
      </c>
      <c r="N185" s="18"/>
      <c r="O185" s="18" t="s">
        <v>84</v>
      </c>
      <c r="P185" s="18" t="s">
        <v>84</v>
      </c>
      <c r="Q185" s="18" t="s">
        <v>84</v>
      </c>
      <c r="R185" s="15">
        <f t="shared" si="3"/>
        <v>0</v>
      </c>
      <c r="S185" s="15">
        <v>43.0</v>
      </c>
      <c r="T185" s="15">
        <v>0.0</v>
      </c>
      <c r="U185" s="20">
        <f t="shared" si="4"/>
        <v>0</v>
      </c>
      <c r="V185" s="15">
        <f t="shared" si="5"/>
        <v>17</v>
      </c>
      <c r="W185" s="15">
        <v>0.0</v>
      </c>
      <c r="X185" s="20">
        <f t="shared" si="6"/>
        <v>0</v>
      </c>
      <c r="Y185" s="15">
        <f t="shared" ref="Y185:Z185" si="374">AE185-W185</f>
        <v>17</v>
      </c>
      <c r="Z185" s="20">
        <f t="shared" si="374"/>
        <v>0.3953488372</v>
      </c>
      <c r="AA185" s="15">
        <v>0.0</v>
      </c>
      <c r="AB185" s="20">
        <f t="shared" si="8"/>
        <v>0</v>
      </c>
      <c r="AC185" s="15">
        <f t="shared" ref="AC185:AD185" si="375">AE185-AA185</f>
        <v>17</v>
      </c>
      <c r="AD185" s="20">
        <f t="shared" si="375"/>
        <v>0.3953488372</v>
      </c>
      <c r="AE185" s="15">
        <v>17.0</v>
      </c>
      <c r="AF185" s="20">
        <f t="shared" si="10"/>
        <v>0.3953488372</v>
      </c>
      <c r="AG185" s="15">
        <v>17.0</v>
      </c>
      <c r="AH185" s="20">
        <f t="shared" si="11"/>
        <v>0.3953488372</v>
      </c>
      <c r="AI185" s="15">
        <v>17.0</v>
      </c>
      <c r="AJ185" s="15">
        <v>0.0</v>
      </c>
      <c r="AK185" s="21">
        <v>0.0</v>
      </c>
      <c r="AL185" s="22">
        <v>0.395348837209302</v>
      </c>
      <c r="AM185" s="15">
        <v>26.0</v>
      </c>
      <c r="AN185" s="15">
        <v>26.0</v>
      </c>
      <c r="AO185" s="23" t="s">
        <v>63</v>
      </c>
      <c r="AP185" s="23" t="s">
        <v>64</v>
      </c>
      <c r="AQ185" s="13" t="s">
        <v>104</v>
      </c>
      <c r="AR185" s="24" t="s">
        <v>66</v>
      </c>
      <c r="AS185" s="24"/>
      <c r="AT185" s="25" t="s">
        <v>653</v>
      </c>
      <c r="AU185" s="26" t="s">
        <v>106</v>
      </c>
      <c r="AV185" s="27"/>
      <c r="AW185" s="27"/>
      <c r="AX185" s="28"/>
      <c r="AY185" s="29" t="s">
        <v>89</v>
      </c>
      <c r="AZ185" s="29"/>
      <c r="BA185" s="28"/>
      <c r="BB185" s="26" t="s">
        <v>90</v>
      </c>
      <c r="BC185" s="27"/>
      <c r="BD185" s="34" t="s">
        <v>91</v>
      </c>
      <c r="BE185" s="34"/>
      <c r="BF185" s="27"/>
      <c r="BG185" s="27"/>
      <c r="BH185" s="27"/>
    </row>
    <row r="186" ht="14.25" customHeight="1">
      <c r="A186" s="12" t="s">
        <v>654</v>
      </c>
      <c r="B186" s="12"/>
      <c r="C186" s="13"/>
      <c r="D186" s="14"/>
      <c r="E186" s="15"/>
      <c r="F186" s="15"/>
      <c r="G186" s="12"/>
      <c r="H186" s="16"/>
      <c r="I186" s="17">
        <v>0.08</v>
      </c>
      <c r="J186" s="18"/>
      <c r="K186" s="18" t="s">
        <v>84</v>
      </c>
      <c r="L186" s="18" t="s">
        <v>62</v>
      </c>
      <c r="M186" s="18" t="s">
        <v>655</v>
      </c>
      <c r="N186" s="18"/>
      <c r="O186" s="18" t="s">
        <v>400</v>
      </c>
      <c r="P186" s="18" t="s">
        <v>129</v>
      </c>
      <c r="Q186" s="18" t="s">
        <v>129</v>
      </c>
      <c r="R186" s="15">
        <f t="shared" si="3"/>
        <v>0</v>
      </c>
      <c r="S186" s="15">
        <v>19.0</v>
      </c>
      <c r="T186" s="15">
        <v>0.0</v>
      </c>
      <c r="U186" s="20">
        <f t="shared" si="4"/>
        <v>0</v>
      </c>
      <c r="V186" s="15">
        <f t="shared" si="5"/>
        <v>19</v>
      </c>
      <c r="W186" s="15">
        <v>0.0</v>
      </c>
      <c r="X186" s="20">
        <f t="shared" si="6"/>
        <v>0</v>
      </c>
      <c r="Y186" s="15">
        <f t="shared" ref="Y186:Z186" si="376">AE186-W186</f>
        <v>19</v>
      </c>
      <c r="Z186" s="20">
        <f t="shared" si="376"/>
        <v>1</v>
      </c>
      <c r="AA186" s="15">
        <v>0.0</v>
      </c>
      <c r="AB186" s="20">
        <f t="shared" si="8"/>
        <v>0</v>
      </c>
      <c r="AC186" s="15">
        <f t="shared" ref="AC186:AD186" si="377">AE186-AA186</f>
        <v>19</v>
      </c>
      <c r="AD186" s="20">
        <f t="shared" si="377"/>
        <v>1</v>
      </c>
      <c r="AE186" s="15">
        <v>19.0</v>
      </c>
      <c r="AF186" s="20">
        <f t="shared" si="10"/>
        <v>1</v>
      </c>
      <c r="AG186" s="15">
        <v>19.0</v>
      </c>
      <c r="AH186" s="20">
        <f t="shared" si="11"/>
        <v>1</v>
      </c>
      <c r="AI186" s="15">
        <v>19.0</v>
      </c>
      <c r="AJ186" s="15">
        <v>0.0</v>
      </c>
      <c r="AK186" s="21">
        <v>0.0</v>
      </c>
      <c r="AL186" s="22">
        <v>1.0</v>
      </c>
      <c r="AM186" s="15">
        <v>0.0</v>
      </c>
      <c r="AN186" s="15">
        <v>0.0</v>
      </c>
      <c r="AO186" s="23" t="s">
        <v>63</v>
      </c>
      <c r="AP186" s="23" t="s">
        <v>64</v>
      </c>
      <c r="AQ186" s="13" t="s">
        <v>65</v>
      </c>
      <c r="AR186" s="24" t="s">
        <v>66</v>
      </c>
      <c r="AS186" s="24"/>
      <c r="AT186" s="25" t="s">
        <v>656</v>
      </c>
      <c r="AU186" s="26" t="s">
        <v>68</v>
      </c>
      <c r="AV186" s="27"/>
      <c r="AW186" s="24" t="s">
        <v>69</v>
      </c>
      <c r="AX186" s="27"/>
      <c r="AY186" s="29" t="s">
        <v>122</v>
      </c>
      <c r="AZ186" s="30"/>
      <c r="BA186" s="25" t="s">
        <v>657</v>
      </c>
      <c r="BB186" s="26" t="s">
        <v>72</v>
      </c>
      <c r="BC186" s="123"/>
      <c r="BD186" s="24" t="s">
        <v>112</v>
      </c>
      <c r="BE186" s="25" t="s">
        <v>658</v>
      </c>
      <c r="BF186" s="27"/>
      <c r="BG186" s="27"/>
      <c r="BH186" s="27"/>
    </row>
    <row r="187" ht="14.25" customHeight="1">
      <c r="A187" s="12" t="s">
        <v>659</v>
      </c>
      <c r="B187" s="12"/>
      <c r="C187" s="13"/>
      <c r="D187" s="14"/>
      <c r="E187" s="15"/>
      <c r="F187" s="15"/>
      <c r="G187" s="12"/>
      <c r="H187" s="16"/>
      <c r="I187" s="17">
        <v>1.0</v>
      </c>
      <c r="J187" s="18"/>
      <c r="K187" s="18" t="s">
        <v>62</v>
      </c>
      <c r="L187" s="18" t="s">
        <v>61</v>
      </c>
      <c r="M187" s="18" t="s">
        <v>60</v>
      </c>
      <c r="N187" s="18"/>
      <c r="O187" s="18" t="s">
        <v>60</v>
      </c>
      <c r="P187" s="18" t="s">
        <v>60</v>
      </c>
      <c r="Q187" s="19" t="s">
        <v>60</v>
      </c>
      <c r="R187" s="15">
        <f t="shared" si="3"/>
        <v>0</v>
      </c>
      <c r="S187" s="15">
        <v>16.0</v>
      </c>
      <c r="T187" s="15">
        <v>16.0</v>
      </c>
      <c r="U187" s="20">
        <f t="shared" si="4"/>
        <v>1</v>
      </c>
      <c r="V187" s="15">
        <f t="shared" si="5"/>
        <v>0</v>
      </c>
      <c r="W187" s="15">
        <v>16.0</v>
      </c>
      <c r="X187" s="20">
        <f t="shared" si="6"/>
        <v>1</v>
      </c>
      <c r="Y187" s="15">
        <f t="shared" ref="Y187:Z187" si="378">AE187-W187</f>
        <v>0</v>
      </c>
      <c r="Z187" s="20">
        <f t="shared" si="378"/>
        <v>0</v>
      </c>
      <c r="AA187" s="15">
        <v>16.0</v>
      </c>
      <c r="AB187" s="20">
        <f t="shared" si="8"/>
        <v>1</v>
      </c>
      <c r="AC187" s="15">
        <f t="shared" ref="AC187:AD187" si="379">AE187-AA187</f>
        <v>0</v>
      </c>
      <c r="AD187" s="20">
        <f t="shared" si="379"/>
        <v>0</v>
      </c>
      <c r="AE187" s="15">
        <v>16.0</v>
      </c>
      <c r="AF187" s="20">
        <f t="shared" si="10"/>
        <v>1</v>
      </c>
      <c r="AG187" s="15">
        <v>16.0</v>
      </c>
      <c r="AH187" s="20">
        <f t="shared" si="11"/>
        <v>1</v>
      </c>
      <c r="AI187" s="15">
        <v>16.0</v>
      </c>
      <c r="AJ187" s="15">
        <v>0.0</v>
      </c>
      <c r="AK187" s="21">
        <v>0.0</v>
      </c>
      <c r="AL187" s="22">
        <v>1.0</v>
      </c>
      <c r="AM187" s="15">
        <v>0.0</v>
      </c>
      <c r="AN187" s="15">
        <v>0.0</v>
      </c>
      <c r="AO187" s="23" t="s">
        <v>63</v>
      </c>
      <c r="AP187" s="23" t="s">
        <v>64</v>
      </c>
      <c r="AQ187" s="13" t="s">
        <v>108</v>
      </c>
      <c r="AR187" s="24" t="s">
        <v>66</v>
      </c>
      <c r="AS187" s="24"/>
      <c r="AT187" s="25" t="s">
        <v>660</v>
      </c>
      <c r="AU187" s="26" t="s">
        <v>88</v>
      </c>
      <c r="AV187" s="36"/>
      <c r="AW187" s="24" t="s">
        <v>79</v>
      </c>
      <c r="AX187" s="28"/>
      <c r="AY187" s="29" t="s">
        <v>70</v>
      </c>
      <c r="AZ187" s="32"/>
      <c r="BA187" s="25" t="s">
        <v>661</v>
      </c>
      <c r="BB187" s="26" t="s">
        <v>72</v>
      </c>
      <c r="BC187" s="27"/>
      <c r="BD187" s="24" t="s">
        <v>112</v>
      </c>
      <c r="BE187" s="27"/>
      <c r="BF187" s="27"/>
      <c r="BG187" s="27"/>
      <c r="BH187" s="27"/>
    </row>
    <row r="188" ht="14.25" customHeight="1">
      <c r="A188" s="12" t="s">
        <v>662</v>
      </c>
      <c r="B188" s="12"/>
      <c r="C188" s="13"/>
      <c r="D188" s="14"/>
      <c r="E188" s="15"/>
      <c r="F188" s="15"/>
      <c r="G188" s="12"/>
      <c r="H188" s="16"/>
      <c r="I188" s="17">
        <v>1.0</v>
      </c>
      <c r="J188" s="18" t="s">
        <v>114</v>
      </c>
      <c r="K188" s="18" t="s">
        <v>270</v>
      </c>
      <c r="L188" s="18" t="s">
        <v>60</v>
      </c>
      <c r="M188" s="18" t="s">
        <v>60</v>
      </c>
      <c r="N188" s="18"/>
      <c r="O188" s="18" t="s">
        <v>60</v>
      </c>
      <c r="P188" s="18" t="s">
        <v>60</v>
      </c>
      <c r="Q188" s="19" t="s">
        <v>60</v>
      </c>
      <c r="R188" s="15">
        <f t="shared" si="3"/>
        <v>0</v>
      </c>
      <c r="S188" s="15">
        <v>21.0</v>
      </c>
      <c r="T188" s="15">
        <v>21.0</v>
      </c>
      <c r="U188" s="20">
        <f t="shared" si="4"/>
        <v>1</v>
      </c>
      <c r="V188" s="15">
        <f t="shared" si="5"/>
        <v>0</v>
      </c>
      <c r="W188" s="15">
        <v>21.0</v>
      </c>
      <c r="X188" s="20">
        <f t="shared" si="6"/>
        <v>1</v>
      </c>
      <c r="Y188" s="15">
        <f t="shared" ref="Y188:Z188" si="380">AE188-W188</f>
        <v>0</v>
      </c>
      <c r="Z188" s="20">
        <f t="shared" si="380"/>
        <v>0</v>
      </c>
      <c r="AA188" s="15">
        <v>21.0</v>
      </c>
      <c r="AB188" s="20">
        <f t="shared" si="8"/>
        <v>1</v>
      </c>
      <c r="AC188" s="15">
        <f t="shared" ref="AC188:AD188" si="381">AE188-AA188</f>
        <v>0</v>
      </c>
      <c r="AD188" s="20">
        <f t="shared" si="381"/>
        <v>0</v>
      </c>
      <c r="AE188" s="15">
        <v>21.0</v>
      </c>
      <c r="AF188" s="20">
        <f t="shared" si="10"/>
        <v>1</v>
      </c>
      <c r="AG188" s="15">
        <v>21.0</v>
      </c>
      <c r="AH188" s="20">
        <f t="shared" si="11"/>
        <v>1</v>
      </c>
      <c r="AI188" s="15">
        <v>21.0</v>
      </c>
      <c r="AJ188" s="15">
        <v>0.0</v>
      </c>
      <c r="AK188" s="21">
        <v>0.0</v>
      </c>
      <c r="AL188" s="22">
        <v>1.0</v>
      </c>
      <c r="AM188" s="15">
        <v>0.0</v>
      </c>
      <c r="AN188" s="15">
        <v>0.0</v>
      </c>
      <c r="AO188" s="23" t="s">
        <v>63</v>
      </c>
      <c r="AP188" s="23" t="s">
        <v>64</v>
      </c>
      <c r="AQ188" s="13" t="s">
        <v>108</v>
      </c>
      <c r="AR188" s="24" t="s">
        <v>66</v>
      </c>
      <c r="AS188" s="24"/>
      <c r="AT188" s="25" t="s">
        <v>663</v>
      </c>
      <c r="AU188" s="26" t="s">
        <v>68</v>
      </c>
      <c r="AV188" s="36"/>
      <c r="AW188" s="24" t="s">
        <v>79</v>
      </c>
      <c r="AX188" s="28"/>
      <c r="AY188" s="29" t="s">
        <v>70</v>
      </c>
      <c r="AZ188" s="30"/>
      <c r="BA188" s="25" t="s">
        <v>664</v>
      </c>
      <c r="BB188" s="26" t="s">
        <v>665</v>
      </c>
      <c r="BC188" s="27"/>
      <c r="BD188" s="24"/>
      <c r="BE188" s="27"/>
      <c r="BF188" s="27"/>
      <c r="BG188" s="27"/>
      <c r="BH188" s="27"/>
    </row>
    <row r="189" ht="14.25" customHeight="1">
      <c r="A189" s="12" t="s">
        <v>666</v>
      </c>
      <c r="B189" s="12"/>
      <c r="C189" s="13"/>
      <c r="D189" s="14"/>
      <c r="E189" s="15"/>
      <c r="F189" s="19"/>
      <c r="G189" s="39"/>
      <c r="H189" s="18"/>
      <c r="I189" s="17">
        <v>0.2024</v>
      </c>
      <c r="J189" s="18"/>
      <c r="K189" s="18" t="s">
        <v>62</v>
      </c>
      <c r="L189" s="18" t="s">
        <v>62</v>
      </c>
      <c r="M189" s="18" t="s">
        <v>62</v>
      </c>
      <c r="N189" s="18"/>
      <c r="O189" s="18" t="s">
        <v>60</v>
      </c>
      <c r="P189" s="18" t="s">
        <v>60</v>
      </c>
      <c r="Q189" s="19" t="s">
        <v>60</v>
      </c>
      <c r="R189" s="15">
        <f t="shared" si="3"/>
        <v>0</v>
      </c>
      <c r="S189" s="15">
        <v>63.0</v>
      </c>
      <c r="T189" s="15">
        <v>14.0</v>
      </c>
      <c r="U189" s="20">
        <f t="shared" si="4"/>
        <v>0.2222222222</v>
      </c>
      <c r="V189" s="15">
        <f t="shared" si="5"/>
        <v>49</v>
      </c>
      <c r="W189" s="15">
        <v>63.0</v>
      </c>
      <c r="X189" s="20">
        <f t="shared" si="6"/>
        <v>1</v>
      </c>
      <c r="Y189" s="15">
        <f t="shared" ref="Y189:Z189" si="382">AE189-W189</f>
        <v>0</v>
      </c>
      <c r="Z189" s="20">
        <f t="shared" si="382"/>
        <v>0</v>
      </c>
      <c r="AA189" s="15">
        <v>63.0</v>
      </c>
      <c r="AB189" s="20">
        <f t="shared" si="8"/>
        <v>1</v>
      </c>
      <c r="AC189" s="15">
        <f t="shared" ref="AC189:AD189" si="383">AE189-AA189</f>
        <v>0</v>
      </c>
      <c r="AD189" s="20">
        <f t="shared" si="383"/>
        <v>0</v>
      </c>
      <c r="AE189" s="15">
        <v>63.0</v>
      </c>
      <c r="AF189" s="20">
        <f t="shared" si="10"/>
        <v>1</v>
      </c>
      <c r="AG189" s="15">
        <v>63.0</v>
      </c>
      <c r="AH189" s="20">
        <f t="shared" si="11"/>
        <v>1</v>
      </c>
      <c r="AI189" s="15">
        <v>63.0</v>
      </c>
      <c r="AJ189" s="15">
        <v>0.0</v>
      </c>
      <c r="AK189" s="21">
        <v>0.0</v>
      </c>
      <c r="AL189" s="22">
        <v>1.0</v>
      </c>
      <c r="AM189" s="15">
        <v>0.0</v>
      </c>
      <c r="AN189" s="15">
        <v>0.0</v>
      </c>
      <c r="AO189" s="23" t="s">
        <v>64</v>
      </c>
      <c r="AP189" s="23" t="s">
        <v>64</v>
      </c>
      <c r="AQ189" s="13" t="s">
        <v>93</v>
      </c>
      <c r="AR189" s="24" t="s">
        <v>66</v>
      </c>
      <c r="AS189" s="24"/>
      <c r="AT189" s="25" t="s">
        <v>667</v>
      </c>
      <c r="AU189" s="26" t="s">
        <v>88</v>
      </c>
      <c r="AV189" s="36"/>
      <c r="AW189" s="24" t="s">
        <v>79</v>
      </c>
      <c r="AX189" s="28"/>
      <c r="AY189" s="29" t="s">
        <v>668</v>
      </c>
      <c r="AZ189" s="32"/>
      <c r="BA189" s="25" t="s">
        <v>669</v>
      </c>
      <c r="BB189" s="26" t="s">
        <v>72</v>
      </c>
      <c r="BC189" s="27"/>
      <c r="BD189" s="24"/>
      <c r="BE189" s="27"/>
      <c r="BF189" s="27"/>
      <c r="BG189" s="27"/>
      <c r="BH189" s="27"/>
    </row>
    <row r="190" ht="14.25" customHeight="1">
      <c r="A190" s="12" t="s">
        <v>670</v>
      </c>
      <c r="B190" s="12"/>
      <c r="C190" s="13"/>
      <c r="D190" s="14"/>
      <c r="E190" s="15"/>
      <c r="F190" s="19"/>
      <c r="G190" s="39"/>
      <c r="H190" s="18"/>
      <c r="I190" s="17">
        <v>1.0</v>
      </c>
      <c r="J190" s="18"/>
      <c r="K190" s="18" t="s">
        <v>62</v>
      </c>
      <c r="L190" s="18" t="s">
        <v>62</v>
      </c>
      <c r="M190" s="18" t="s">
        <v>60</v>
      </c>
      <c r="N190" s="18"/>
      <c r="O190" s="18" t="s">
        <v>60</v>
      </c>
      <c r="P190" s="18" t="s">
        <v>60</v>
      </c>
      <c r="Q190" s="19" t="s">
        <v>60</v>
      </c>
      <c r="R190" s="15">
        <f t="shared" si="3"/>
        <v>0</v>
      </c>
      <c r="S190" s="15">
        <v>15.0</v>
      </c>
      <c r="T190" s="15">
        <v>15.0</v>
      </c>
      <c r="U190" s="20">
        <f t="shared" si="4"/>
        <v>1</v>
      </c>
      <c r="V190" s="15">
        <f t="shared" si="5"/>
        <v>0</v>
      </c>
      <c r="W190" s="15">
        <v>15.0</v>
      </c>
      <c r="X190" s="20">
        <f t="shared" si="6"/>
        <v>1</v>
      </c>
      <c r="Y190" s="15">
        <f t="shared" ref="Y190:Z190" si="384">AE190-W190</f>
        <v>0</v>
      </c>
      <c r="Z190" s="20">
        <f t="shared" si="384"/>
        <v>0</v>
      </c>
      <c r="AA190" s="15">
        <v>15.0</v>
      </c>
      <c r="AB190" s="20">
        <f t="shared" si="8"/>
        <v>1</v>
      </c>
      <c r="AC190" s="15">
        <f t="shared" ref="AC190:AD190" si="385">AE190-AA190</f>
        <v>0</v>
      </c>
      <c r="AD190" s="20">
        <f t="shared" si="385"/>
        <v>0</v>
      </c>
      <c r="AE190" s="15">
        <v>15.0</v>
      </c>
      <c r="AF190" s="20">
        <f t="shared" si="10"/>
        <v>1</v>
      </c>
      <c r="AG190" s="15">
        <v>15.0</v>
      </c>
      <c r="AH190" s="20">
        <f t="shared" si="11"/>
        <v>1</v>
      </c>
      <c r="AI190" s="15">
        <v>15.0</v>
      </c>
      <c r="AJ190" s="15">
        <v>0.0</v>
      </c>
      <c r="AK190" s="21">
        <v>0.0</v>
      </c>
      <c r="AL190" s="22">
        <v>1.0</v>
      </c>
      <c r="AM190" s="15">
        <v>0.0</v>
      </c>
      <c r="AN190" s="15">
        <v>0.0</v>
      </c>
      <c r="AO190" s="23" t="s">
        <v>63</v>
      </c>
      <c r="AP190" s="23" t="s">
        <v>64</v>
      </c>
      <c r="AQ190" s="13" t="s">
        <v>65</v>
      </c>
      <c r="AR190" s="24" t="s">
        <v>66</v>
      </c>
      <c r="AS190" s="24"/>
      <c r="AT190" s="25" t="s">
        <v>671</v>
      </c>
      <c r="AU190" s="26" t="s">
        <v>88</v>
      </c>
      <c r="AV190" s="27"/>
      <c r="AW190" s="27"/>
      <c r="AX190" s="28"/>
      <c r="AY190" s="29" t="s">
        <v>70</v>
      </c>
      <c r="AZ190" s="30"/>
      <c r="BA190" s="25" t="s">
        <v>672</v>
      </c>
      <c r="BB190" s="26" t="s">
        <v>72</v>
      </c>
      <c r="BC190" s="27"/>
      <c r="BD190" s="24" t="s">
        <v>73</v>
      </c>
      <c r="BE190" s="27"/>
      <c r="BF190" s="27"/>
      <c r="BG190" s="27"/>
      <c r="BH190" s="27"/>
    </row>
    <row r="191" ht="14.25" customHeight="1">
      <c r="A191" s="12" t="s">
        <v>673</v>
      </c>
      <c r="B191" s="12"/>
      <c r="C191" s="13"/>
      <c r="D191" s="14"/>
      <c r="E191" s="15"/>
      <c r="F191" s="19"/>
      <c r="G191" s="39"/>
      <c r="H191" s="18"/>
      <c r="I191" s="17">
        <v>0.32</v>
      </c>
      <c r="J191" s="18"/>
      <c r="K191" s="18" t="s">
        <v>62</v>
      </c>
      <c r="L191" s="18" t="s">
        <v>674</v>
      </c>
      <c r="M191" s="18" t="s">
        <v>202</v>
      </c>
      <c r="N191" s="18"/>
      <c r="O191" s="18" t="s">
        <v>86</v>
      </c>
      <c r="P191" s="18" t="s">
        <v>129</v>
      </c>
      <c r="Q191" s="19" t="s">
        <v>60</v>
      </c>
      <c r="R191" s="15">
        <f t="shared" si="3"/>
        <v>0</v>
      </c>
      <c r="S191" s="15">
        <v>17.0</v>
      </c>
      <c r="T191" s="15">
        <v>4.0</v>
      </c>
      <c r="U191" s="20">
        <f t="shared" si="4"/>
        <v>0.2352941176</v>
      </c>
      <c r="V191" s="15">
        <f t="shared" si="5"/>
        <v>13</v>
      </c>
      <c r="W191" s="15">
        <v>0.0</v>
      </c>
      <c r="X191" s="20">
        <f t="shared" si="6"/>
        <v>0</v>
      </c>
      <c r="Y191" s="15">
        <f t="shared" ref="Y191:Z191" si="386">AE191-W191</f>
        <v>17</v>
      </c>
      <c r="Z191" s="20">
        <f t="shared" si="386"/>
        <v>1</v>
      </c>
      <c r="AA191" s="15">
        <v>17.0</v>
      </c>
      <c r="AB191" s="20">
        <f t="shared" si="8"/>
        <v>1</v>
      </c>
      <c r="AC191" s="15">
        <f t="shared" ref="AC191:AD191" si="387">AE191-AA191</f>
        <v>0</v>
      </c>
      <c r="AD191" s="20">
        <f t="shared" si="387"/>
        <v>0</v>
      </c>
      <c r="AE191" s="15">
        <v>17.0</v>
      </c>
      <c r="AF191" s="20">
        <f t="shared" si="10"/>
        <v>1</v>
      </c>
      <c r="AG191" s="15">
        <v>17.0</v>
      </c>
      <c r="AH191" s="20">
        <f t="shared" si="11"/>
        <v>1</v>
      </c>
      <c r="AI191" s="15">
        <v>17.0</v>
      </c>
      <c r="AJ191" s="15">
        <v>0.0</v>
      </c>
      <c r="AK191" s="21">
        <v>0.0</v>
      </c>
      <c r="AL191" s="22">
        <v>1.0</v>
      </c>
      <c r="AM191" s="15">
        <v>0.0</v>
      </c>
      <c r="AN191" s="15">
        <v>0.0</v>
      </c>
      <c r="AO191" s="23" t="s">
        <v>63</v>
      </c>
      <c r="AP191" s="23" t="s">
        <v>64</v>
      </c>
      <c r="AQ191" s="13" t="s">
        <v>104</v>
      </c>
      <c r="AR191" s="24" t="s">
        <v>66</v>
      </c>
      <c r="AS191" s="24"/>
      <c r="AT191" s="25" t="s">
        <v>675</v>
      </c>
      <c r="AU191" s="26" t="s">
        <v>68</v>
      </c>
      <c r="AV191" s="36"/>
      <c r="AW191" s="24" t="s">
        <v>79</v>
      </c>
      <c r="AX191" s="28"/>
      <c r="AY191" s="29" t="s">
        <v>89</v>
      </c>
      <c r="AZ191" s="29"/>
      <c r="BA191" s="28"/>
      <c r="BB191" s="26" t="s">
        <v>90</v>
      </c>
      <c r="BC191" s="27"/>
      <c r="BD191" s="34" t="s">
        <v>91</v>
      </c>
      <c r="BE191" s="34"/>
      <c r="BF191" s="27"/>
      <c r="BG191" s="27"/>
      <c r="BH191" s="27"/>
    </row>
    <row r="192" ht="14.25" customHeight="1">
      <c r="A192" s="12" t="s">
        <v>676</v>
      </c>
      <c r="B192" s="12"/>
      <c r="C192" s="13"/>
      <c r="D192" s="14"/>
      <c r="E192" s="15"/>
      <c r="F192" s="15"/>
      <c r="G192" s="12"/>
      <c r="H192" s="16"/>
      <c r="I192" s="17">
        <v>0.2821</v>
      </c>
      <c r="J192" s="18"/>
      <c r="K192" s="18" t="s">
        <v>62</v>
      </c>
      <c r="L192" s="18" t="s">
        <v>62</v>
      </c>
      <c r="M192" s="18" t="s">
        <v>264</v>
      </c>
      <c r="N192" s="18"/>
      <c r="O192" s="18" t="s">
        <v>84</v>
      </c>
      <c r="P192" s="18" t="s">
        <v>86</v>
      </c>
      <c r="Q192" s="19" t="s">
        <v>129</v>
      </c>
      <c r="R192" s="15">
        <f t="shared" si="3"/>
        <v>0</v>
      </c>
      <c r="S192" s="15">
        <v>28.0</v>
      </c>
      <c r="T192" s="15">
        <v>0.0</v>
      </c>
      <c r="U192" s="20">
        <f t="shared" si="4"/>
        <v>0</v>
      </c>
      <c r="V192" s="15">
        <f t="shared" si="5"/>
        <v>20</v>
      </c>
      <c r="W192" s="15">
        <v>0.0</v>
      </c>
      <c r="X192" s="20">
        <f t="shared" si="6"/>
        <v>0</v>
      </c>
      <c r="Y192" s="15">
        <f t="shared" ref="Y192:Z192" si="388">AE192-W192</f>
        <v>20</v>
      </c>
      <c r="Z192" s="20">
        <f t="shared" si="388"/>
        <v>0.7142857143</v>
      </c>
      <c r="AA192" s="15">
        <v>0.0</v>
      </c>
      <c r="AB192" s="20">
        <f t="shared" si="8"/>
        <v>0</v>
      </c>
      <c r="AC192" s="15">
        <f t="shared" ref="AC192:AD192" si="389">AE192-AA192</f>
        <v>20</v>
      </c>
      <c r="AD192" s="20">
        <f t="shared" si="389"/>
        <v>0.7142857143</v>
      </c>
      <c r="AE192" s="15">
        <v>20.0</v>
      </c>
      <c r="AF192" s="20">
        <f t="shared" si="10"/>
        <v>0.7142857143</v>
      </c>
      <c r="AG192" s="15">
        <v>20.0</v>
      </c>
      <c r="AH192" s="20">
        <f t="shared" si="11"/>
        <v>0.7142857143</v>
      </c>
      <c r="AI192" s="15">
        <v>20.0</v>
      </c>
      <c r="AJ192" s="15">
        <v>0.0</v>
      </c>
      <c r="AK192" s="21">
        <v>0.0</v>
      </c>
      <c r="AL192" s="22">
        <v>0.714285714285714</v>
      </c>
      <c r="AM192" s="15">
        <v>8.0</v>
      </c>
      <c r="AN192" s="15">
        <v>8.0</v>
      </c>
      <c r="AO192" s="23" t="s">
        <v>63</v>
      </c>
      <c r="AP192" s="23" t="s">
        <v>64</v>
      </c>
      <c r="AQ192" s="13" t="s">
        <v>77</v>
      </c>
      <c r="AR192" s="24" t="s">
        <v>66</v>
      </c>
      <c r="AS192" s="24"/>
      <c r="AT192" s="25" t="s">
        <v>677</v>
      </c>
      <c r="AU192" s="26" t="s">
        <v>68</v>
      </c>
      <c r="AV192" s="36"/>
      <c r="AW192" s="24" t="s">
        <v>79</v>
      </c>
      <c r="AX192" s="28"/>
      <c r="AY192" s="29" t="s">
        <v>499</v>
      </c>
      <c r="AZ192" s="30"/>
      <c r="BA192" s="25" t="s">
        <v>678</v>
      </c>
      <c r="BB192" s="26" t="s">
        <v>118</v>
      </c>
      <c r="BC192" s="27"/>
      <c r="BD192" s="34" t="s">
        <v>91</v>
      </c>
      <c r="BE192" s="34"/>
      <c r="BF192" s="31">
        <v>46168.0</v>
      </c>
      <c r="BG192" s="27"/>
      <c r="BH192" s="27"/>
    </row>
    <row r="193" ht="14.25" customHeight="1">
      <c r="A193" s="12" t="s">
        <v>679</v>
      </c>
      <c r="B193" s="12"/>
      <c r="C193" s="13"/>
      <c r="D193" s="14"/>
      <c r="E193" s="15"/>
      <c r="F193" s="15"/>
      <c r="G193" s="12"/>
      <c r="H193" s="16"/>
      <c r="I193" s="17">
        <v>0.5357</v>
      </c>
      <c r="J193" s="18"/>
      <c r="K193" s="18" t="s">
        <v>62</v>
      </c>
      <c r="L193" s="18" t="s">
        <v>76</v>
      </c>
      <c r="M193" s="18" t="s">
        <v>62</v>
      </c>
      <c r="N193" s="18"/>
      <c r="O193" s="18" t="s">
        <v>60</v>
      </c>
      <c r="P193" s="18" t="s">
        <v>60</v>
      </c>
      <c r="Q193" s="19" t="s">
        <v>60</v>
      </c>
      <c r="R193" s="15">
        <f t="shared" si="3"/>
        <v>0</v>
      </c>
      <c r="S193" s="15">
        <v>24.0</v>
      </c>
      <c r="T193" s="15">
        <v>11.0</v>
      </c>
      <c r="U193" s="20">
        <f t="shared" si="4"/>
        <v>0.4583333333</v>
      </c>
      <c r="V193" s="15">
        <f t="shared" si="5"/>
        <v>13</v>
      </c>
      <c r="W193" s="15">
        <v>24.0</v>
      </c>
      <c r="X193" s="20">
        <f t="shared" si="6"/>
        <v>1</v>
      </c>
      <c r="Y193" s="15">
        <f t="shared" ref="Y193:Z193" si="390">AE193-W193</f>
        <v>0</v>
      </c>
      <c r="Z193" s="20">
        <f t="shared" si="390"/>
        <v>0</v>
      </c>
      <c r="AA193" s="15">
        <v>24.0</v>
      </c>
      <c r="AB193" s="20">
        <f t="shared" si="8"/>
        <v>1</v>
      </c>
      <c r="AC193" s="15">
        <f t="shared" ref="AC193:AD193" si="391">AE193-AA193</f>
        <v>0</v>
      </c>
      <c r="AD193" s="20">
        <f t="shared" si="391"/>
        <v>0</v>
      </c>
      <c r="AE193" s="15">
        <v>24.0</v>
      </c>
      <c r="AF193" s="20">
        <f t="shared" si="10"/>
        <v>1</v>
      </c>
      <c r="AG193" s="15">
        <v>24.0</v>
      </c>
      <c r="AH193" s="20">
        <f t="shared" si="11"/>
        <v>1</v>
      </c>
      <c r="AI193" s="15">
        <v>24.0</v>
      </c>
      <c r="AJ193" s="15">
        <v>0.0</v>
      </c>
      <c r="AK193" s="21">
        <v>0.0</v>
      </c>
      <c r="AL193" s="22">
        <v>1.0</v>
      </c>
      <c r="AM193" s="15">
        <v>0.0</v>
      </c>
      <c r="AN193" s="15">
        <v>0.0</v>
      </c>
      <c r="AO193" s="23" t="s">
        <v>63</v>
      </c>
      <c r="AP193" s="23" t="s">
        <v>64</v>
      </c>
      <c r="AQ193" s="13" t="s">
        <v>93</v>
      </c>
      <c r="AR193" s="24" t="s">
        <v>66</v>
      </c>
      <c r="AS193" s="24"/>
      <c r="AT193" s="25" t="s">
        <v>680</v>
      </c>
      <c r="AU193" s="26" t="s">
        <v>68</v>
      </c>
      <c r="AV193" s="27"/>
      <c r="AW193" s="24" t="s">
        <v>69</v>
      </c>
      <c r="AX193" s="28"/>
      <c r="AY193" s="29" t="s">
        <v>70</v>
      </c>
      <c r="AZ193" s="32"/>
      <c r="BA193" s="25" t="s">
        <v>681</v>
      </c>
      <c r="BB193" s="26" t="s">
        <v>72</v>
      </c>
      <c r="BC193" s="27"/>
      <c r="BD193" s="24" t="s">
        <v>73</v>
      </c>
      <c r="BE193" s="27"/>
      <c r="BF193" s="27"/>
      <c r="BG193" s="27"/>
      <c r="BH193" s="27"/>
    </row>
    <row r="194" ht="14.25" customHeight="1">
      <c r="A194" s="12" t="s">
        <v>682</v>
      </c>
      <c r="B194" s="12"/>
      <c r="C194" s="13"/>
      <c r="D194" s="14"/>
      <c r="E194" s="15"/>
      <c r="F194" s="19"/>
      <c r="G194" s="39"/>
      <c r="H194" s="18"/>
      <c r="I194" s="17">
        <v>0.9184</v>
      </c>
      <c r="J194" s="18" t="s">
        <v>683</v>
      </c>
      <c r="K194" s="18" t="s">
        <v>270</v>
      </c>
      <c r="L194" s="18" t="s">
        <v>60</v>
      </c>
      <c r="M194" s="18" t="s">
        <v>60</v>
      </c>
      <c r="N194" s="18"/>
      <c r="O194" s="18" t="s">
        <v>60</v>
      </c>
      <c r="P194" s="18" t="s">
        <v>60</v>
      </c>
      <c r="Q194" s="19" t="s">
        <v>60</v>
      </c>
      <c r="R194" s="15">
        <f t="shared" si="3"/>
        <v>0</v>
      </c>
      <c r="S194" s="15">
        <v>27.0</v>
      </c>
      <c r="T194" s="15">
        <v>23.0</v>
      </c>
      <c r="U194" s="20">
        <f t="shared" si="4"/>
        <v>0.8518518519</v>
      </c>
      <c r="V194" s="15">
        <f t="shared" si="5"/>
        <v>0</v>
      </c>
      <c r="W194" s="15">
        <v>23.0</v>
      </c>
      <c r="X194" s="20">
        <f t="shared" si="6"/>
        <v>0.8518518519</v>
      </c>
      <c r="Y194" s="15">
        <f t="shared" ref="Y194:Z194" si="392">AE194-W194</f>
        <v>0</v>
      </c>
      <c r="Z194" s="20">
        <f t="shared" si="392"/>
        <v>0</v>
      </c>
      <c r="AA194" s="15">
        <v>23.0</v>
      </c>
      <c r="AB194" s="20">
        <f t="shared" si="8"/>
        <v>0.8518518519</v>
      </c>
      <c r="AC194" s="15">
        <f t="shared" ref="AC194:AD194" si="393">AE194-AA194</f>
        <v>0</v>
      </c>
      <c r="AD194" s="20">
        <f t="shared" si="393"/>
        <v>0</v>
      </c>
      <c r="AE194" s="15">
        <v>23.0</v>
      </c>
      <c r="AF194" s="20">
        <f t="shared" si="10"/>
        <v>0.8518518519</v>
      </c>
      <c r="AG194" s="15">
        <v>23.0</v>
      </c>
      <c r="AH194" s="20">
        <f t="shared" si="11"/>
        <v>0.8518518519</v>
      </c>
      <c r="AI194" s="15">
        <v>23.0</v>
      </c>
      <c r="AJ194" s="15">
        <v>0.0</v>
      </c>
      <c r="AK194" s="21">
        <v>0.0</v>
      </c>
      <c r="AL194" s="22">
        <v>0.851851851851852</v>
      </c>
      <c r="AM194" s="15">
        <v>4.0</v>
      </c>
      <c r="AN194" s="15">
        <v>4.0</v>
      </c>
      <c r="AO194" s="23" t="s">
        <v>63</v>
      </c>
      <c r="AP194" s="23" t="s">
        <v>64</v>
      </c>
      <c r="AQ194" s="13" t="s">
        <v>108</v>
      </c>
      <c r="AR194" s="24" t="s">
        <v>66</v>
      </c>
      <c r="AS194" s="24"/>
      <c r="AT194" s="25" t="s">
        <v>684</v>
      </c>
      <c r="AU194" s="26" t="s">
        <v>118</v>
      </c>
      <c r="AV194" s="27"/>
      <c r="AW194" s="24" t="s">
        <v>133</v>
      </c>
      <c r="AX194" s="42">
        <v>46002.0</v>
      </c>
      <c r="AY194" s="29" t="s">
        <v>254</v>
      </c>
      <c r="AZ194" s="30"/>
      <c r="BA194" s="25" t="s">
        <v>685</v>
      </c>
      <c r="BB194" s="26" t="s">
        <v>72</v>
      </c>
      <c r="BC194" s="27"/>
      <c r="BD194" s="24" t="s">
        <v>73</v>
      </c>
      <c r="BE194" s="24"/>
      <c r="BF194" s="27"/>
      <c r="BG194" s="27"/>
      <c r="BH194" s="27"/>
    </row>
    <row r="195" ht="14.25" customHeight="1">
      <c r="A195" s="12" t="s">
        <v>686</v>
      </c>
      <c r="B195" s="12"/>
      <c r="C195" s="59"/>
      <c r="D195" s="14"/>
      <c r="E195" s="15"/>
      <c r="F195" s="16"/>
      <c r="G195" s="12"/>
      <c r="H195" s="16"/>
      <c r="I195" s="17">
        <v>0.0857</v>
      </c>
      <c r="J195" s="18"/>
      <c r="K195" s="18" t="s">
        <v>62</v>
      </c>
      <c r="L195" s="18" t="s">
        <v>62</v>
      </c>
      <c r="M195" s="18" t="s">
        <v>103</v>
      </c>
      <c r="N195" s="18" t="s">
        <v>129</v>
      </c>
      <c r="O195" s="18" t="s">
        <v>86</v>
      </c>
      <c r="P195" s="18" t="s">
        <v>128</v>
      </c>
      <c r="Q195" s="19" t="s">
        <v>60</v>
      </c>
      <c r="R195" s="15">
        <f t="shared" si="3"/>
        <v>0</v>
      </c>
      <c r="S195" s="15">
        <v>25.0</v>
      </c>
      <c r="T195" s="15">
        <v>3.0</v>
      </c>
      <c r="U195" s="20">
        <f t="shared" si="4"/>
        <v>0.12</v>
      </c>
      <c r="V195" s="15">
        <f t="shared" si="5"/>
        <v>22</v>
      </c>
      <c r="W195" s="15">
        <v>3.0</v>
      </c>
      <c r="X195" s="20">
        <f t="shared" si="6"/>
        <v>0.12</v>
      </c>
      <c r="Y195" s="15">
        <f t="shared" ref="Y195:Z195" si="394">AE195-W195</f>
        <v>22</v>
      </c>
      <c r="Z195" s="20">
        <f t="shared" si="394"/>
        <v>0.88</v>
      </c>
      <c r="AA195" s="15">
        <v>25.0</v>
      </c>
      <c r="AB195" s="20">
        <f t="shared" si="8"/>
        <v>1</v>
      </c>
      <c r="AC195" s="15">
        <f t="shared" ref="AC195:AD195" si="395">AE195-AA195</f>
        <v>0</v>
      </c>
      <c r="AD195" s="20">
        <f t="shared" si="395"/>
        <v>0</v>
      </c>
      <c r="AE195" s="15">
        <v>25.0</v>
      </c>
      <c r="AF195" s="20">
        <f t="shared" si="10"/>
        <v>1</v>
      </c>
      <c r="AG195" s="15">
        <v>25.0</v>
      </c>
      <c r="AH195" s="20">
        <f t="shared" si="11"/>
        <v>1</v>
      </c>
      <c r="AI195" s="15">
        <v>25.0</v>
      </c>
      <c r="AJ195" s="15">
        <v>0.0</v>
      </c>
      <c r="AK195" s="21">
        <v>0.0</v>
      </c>
      <c r="AL195" s="22">
        <v>1.0</v>
      </c>
      <c r="AM195" s="15">
        <v>0.0</v>
      </c>
      <c r="AN195" s="15">
        <v>0.0</v>
      </c>
      <c r="AO195" s="23" t="s">
        <v>64</v>
      </c>
      <c r="AP195" s="23" t="s">
        <v>64</v>
      </c>
      <c r="AQ195" s="13" t="s">
        <v>108</v>
      </c>
      <c r="AR195" s="24" t="s">
        <v>66</v>
      </c>
      <c r="AS195" s="24"/>
      <c r="AT195" s="25" t="s">
        <v>687</v>
      </c>
      <c r="AU195" s="26" t="s">
        <v>118</v>
      </c>
      <c r="AV195" s="27"/>
      <c r="AW195" s="24" t="s">
        <v>133</v>
      </c>
      <c r="AX195" s="42">
        <v>46002.0</v>
      </c>
      <c r="AY195" s="29" t="s">
        <v>260</v>
      </c>
      <c r="AZ195" s="24"/>
      <c r="BA195" s="25" t="s">
        <v>688</v>
      </c>
      <c r="BB195" s="26" t="s">
        <v>485</v>
      </c>
      <c r="BC195" s="27"/>
      <c r="BD195" s="34" t="s">
        <v>91</v>
      </c>
      <c r="BE195" s="130">
        <v>46147.0</v>
      </c>
      <c r="BF195" s="28"/>
      <c r="BG195" s="27"/>
      <c r="BH195" s="27"/>
    </row>
    <row r="196" ht="14.25" customHeight="1">
      <c r="A196" s="12" t="s">
        <v>689</v>
      </c>
      <c r="B196" s="12"/>
      <c r="C196" s="13"/>
      <c r="D196" s="14"/>
      <c r="E196" s="15"/>
      <c r="F196" s="19"/>
      <c r="G196" s="39"/>
      <c r="H196" s="18"/>
      <c r="I196" s="17">
        <v>0.7576</v>
      </c>
      <c r="J196" s="18"/>
      <c r="K196" s="18" t="s">
        <v>129</v>
      </c>
      <c r="L196" s="18" t="s">
        <v>61</v>
      </c>
      <c r="M196" s="18" t="s">
        <v>60</v>
      </c>
      <c r="N196" s="18"/>
      <c r="O196" s="18" t="s">
        <v>60</v>
      </c>
      <c r="P196" s="18" t="s">
        <v>60</v>
      </c>
      <c r="Q196" s="19" t="s">
        <v>60</v>
      </c>
      <c r="R196" s="15">
        <f t="shared" si="3"/>
        <v>0</v>
      </c>
      <c r="S196" s="15">
        <v>25.0</v>
      </c>
      <c r="T196" s="15">
        <v>17.0</v>
      </c>
      <c r="U196" s="20">
        <f t="shared" si="4"/>
        <v>0.68</v>
      </c>
      <c r="V196" s="15">
        <f t="shared" si="5"/>
        <v>0</v>
      </c>
      <c r="W196" s="15">
        <v>17.0</v>
      </c>
      <c r="X196" s="20">
        <f t="shared" si="6"/>
        <v>0.68</v>
      </c>
      <c r="Y196" s="15">
        <f t="shared" ref="Y196:Z196" si="396">AE196-W196</f>
        <v>0</v>
      </c>
      <c r="Z196" s="20">
        <f t="shared" si="396"/>
        <v>0</v>
      </c>
      <c r="AA196" s="15">
        <v>17.0</v>
      </c>
      <c r="AB196" s="20">
        <f t="shared" si="8"/>
        <v>0.68</v>
      </c>
      <c r="AC196" s="15">
        <f t="shared" ref="AC196:AD196" si="397">AE196-AA196</f>
        <v>0</v>
      </c>
      <c r="AD196" s="20">
        <f t="shared" si="397"/>
        <v>0</v>
      </c>
      <c r="AE196" s="15">
        <v>17.0</v>
      </c>
      <c r="AF196" s="20">
        <f t="shared" si="10"/>
        <v>0.68</v>
      </c>
      <c r="AG196" s="15">
        <v>17.0</v>
      </c>
      <c r="AH196" s="20">
        <f t="shared" si="11"/>
        <v>0.68</v>
      </c>
      <c r="AI196" s="15">
        <v>17.0</v>
      </c>
      <c r="AJ196" s="15">
        <v>0.0</v>
      </c>
      <c r="AK196" s="21">
        <v>0.0</v>
      </c>
      <c r="AL196" s="22">
        <v>0.68</v>
      </c>
      <c r="AM196" s="15">
        <v>8.0</v>
      </c>
      <c r="AN196" s="15">
        <v>8.0</v>
      </c>
      <c r="AO196" s="23" t="s">
        <v>63</v>
      </c>
      <c r="AP196" s="23" t="s">
        <v>64</v>
      </c>
      <c r="AQ196" s="13" t="s">
        <v>77</v>
      </c>
      <c r="AR196" s="24" t="s">
        <v>66</v>
      </c>
      <c r="AS196" s="24"/>
      <c r="AT196" s="25" t="s">
        <v>690</v>
      </c>
      <c r="AU196" s="26" t="s">
        <v>118</v>
      </c>
      <c r="AV196" s="27"/>
      <c r="AW196" s="24" t="s">
        <v>133</v>
      </c>
      <c r="AX196" s="42">
        <v>46002.0</v>
      </c>
      <c r="AY196" s="29" t="s">
        <v>70</v>
      </c>
      <c r="AZ196" s="30"/>
      <c r="BA196" s="25" t="s">
        <v>691</v>
      </c>
      <c r="BB196" s="26" t="s">
        <v>692</v>
      </c>
      <c r="BC196" s="27"/>
      <c r="BD196" s="24"/>
      <c r="BE196" s="24"/>
      <c r="BF196" s="27"/>
      <c r="BG196" s="27"/>
      <c r="BH196" s="27"/>
    </row>
    <row r="197" ht="14.25" customHeight="1">
      <c r="A197" s="12" t="s">
        <v>693</v>
      </c>
      <c r="B197" s="12"/>
      <c r="C197" s="13"/>
      <c r="D197" s="14"/>
      <c r="E197" s="15"/>
      <c r="F197" s="19"/>
      <c r="G197" s="39"/>
      <c r="H197" s="18"/>
      <c r="I197" s="17">
        <v>0.0</v>
      </c>
      <c r="J197" s="18"/>
      <c r="K197" s="18"/>
      <c r="L197" s="18" t="s">
        <v>84</v>
      </c>
      <c r="M197" s="18" t="s">
        <v>60</v>
      </c>
      <c r="N197" s="18"/>
      <c r="O197" s="18" t="s">
        <v>60</v>
      </c>
      <c r="P197" s="18" t="s">
        <v>60</v>
      </c>
      <c r="Q197" s="19" t="s">
        <v>60</v>
      </c>
      <c r="R197" s="15">
        <f t="shared" si="3"/>
        <v>0</v>
      </c>
      <c r="S197" s="15">
        <v>24.0</v>
      </c>
      <c r="T197" s="15">
        <v>0.0</v>
      </c>
      <c r="U197" s="20">
        <f t="shared" si="4"/>
        <v>0</v>
      </c>
      <c r="V197" s="15">
        <f t="shared" si="5"/>
        <v>15</v>
      </c>
      <c r="W197" s="15">
        <v>15.0</v>
      </c>
      <c r="X197" s="20">
        <f t="shared" si="6"/>
        <v>0.625</v>
      </c>
      <c r="Y197" s="15">
        <f t="shared" ref="Y197:Z197" si="398">AE197-W197</f>
        <v>0</v>
      </c>
      <c r="Z197" s="20">
        <f t="shared" si="398"/>
        <v>0</v>
      </c>
      <c r="AA197" s="15">
        <v>15.0</v>
      </c>
      <c r="AB197" s="20">
        <f t="shared" si="8"/>
        <v>0.625</v>
      </c>
      <c r="AC197" s="15">
        <f t="shared" ref="AC197:AD197" si="399">AE197-AA197</f>
        <v>0</v>
      </c>
      <c r="AD197" s="20">
        <f t="shared" si="399"/>
        <v>0</v>
      </c>
      <c r="AE197" s="15">
        <v>15.0</v>
      </c>
      <c r="AF197" s="20">
        <f t="shared" si="10"/>
        <v>0.625</v>
      </c>
      <c r="AG197" s="15">
        <v>15.0</v>
      </c>
      <c r="AH197" s="20">
        <f t="shared" si="11"/>
        <v>0.625</v>
      </c>
      <c r="AI197" s="15">
        <v>15.0</v>
      </c>
      <c r="AJ197" s="15">
        <v>0.0</v>
      </c>
      <c r="AK197" s="21">
        <v>0.0</v>
      </c>
      <c r="AL197" s="22">
        <v>0.625</v>
      </c>
      <c r="AM197" s="15">
        <v>9.0</v>
      </c>
      <c r="AN197" s="15">
        <v>9.0</v>
      </c>
      <c r="AO197" s="23" t="s">
        <v>63</v>
      </c>
      <c r="AP197" s="23" t="s">
        <v>64</v>
      </c>
      <c r="AQ197" s="13" t="s">
        <v>108</v>
      </c>
      <c r="AR197" s="24" t="s">
        <v>66</v>
      </c>
      <c r="AS197" s="24"/>
      <c r="AT197" s="25" t="s">
        <v>694</v>
      </c>
      <c r="AU197" s="26" t="s">
        <v>118</v>
      </c>
      <c r="AV197" s="36"/>
      <c r="AW197" s="24" t="s">
        <v>133</v>
      </c>
      <c r="AX197" s="42">
        <v>46002.0</v>
      </c>
      <c r="AY197" s="29" t="s">
        <v>70</v>
      </c>
      <c r="AZ197" s="32"/>
      <c r="BA197" s="25" t="s">
        <v>695</v>
      </c>
      <c r="BB197" s="26" t="s">
        <v>72</v>
      </c>
      <c r="BC197" s="27"/>
      <c r="BD197" s="24" t="s">
        <v>73</v>
      </c>
      <c r="BE197" s="24"/>
      <c r="BF197" s="27"/>
      <c r="BG197" s="27"/>
      <c r="BH197" s="27"/>
    </row>
    <row r="198" ht="14.25" customHeight="1">
      <c r="A198" s="12" t="s">
        <v>696</v>
      </c>
      <c r="B198" s="12"/>
      <c r="C198" s="13"/>
      <c r="D198" s="14"/>
      <c r="E198" s="15"/>
      <c r="F198" s="15"/>
      <c r="G198" s="12"/>
      <c r="H198" s="16"/>
      <c r="I198" s="17">
        <v>0.0105</v>
      </c>
      <c r="J198" s="18"/>
      <c r="K198" s="18" t="s">
        <v>84</v>
      </c>
      <c r="L198" s="18" t="s">
        <v>85</v>
      </c>
      <c r="M198" s="18" t="s">
        <v>129</v>
      </c>
      <c r="N198" s="18"/>
      <c r="O198" s="18" t="s">
        <v>84</v>
      </c>
      <c r="P198" s="18" t="s">
        <v>84</v>
      </c>
      <c r="Q198" s="18" t="s">
        <v>84</v>
      </c>
      <c r="R198" s="15">
        <f t="shared" si="3"/>
        <v>0</v>
      </c>
      <c r="S198" s="15">
        <v>68.0</v>
      </c>
      <c r="T198" s="15">
        <v>0.0</v>
      </c>
      <c r="U198" s="20">
        <f t="shared" si="4"/>
        <v>0</v>
      </c>
      <c r="V198" s="15">
        <f t="shared" si="5"/>
        <v>13</v>
      </c>
      <c r="W198" s="15">
        <v>0.0</v>
      </c>
      <c r="X198" s="20">
        <f t="shared" si="6"/>
        <v>0</v>
      </c>
      <c r="Y198" s="15">
        <f t="shared" ref="Y198:Z198" si="400">AE198-W198</f>
        <v>14</v>
      </c>
      <c r="Z198" s="20">
        <f t="shared" si="400"/>
        <v>0.2058823529</v>
      </c>
      <c r="AA198" s="15">
        <v>0.0</v>
      </c>
      <c r="AB198" s="20">
        <f t="shared" si="8"/>
        <v>0</v>
      </c>
      <c r="AC198" s="15">
        <f t="shared" ref="AC198:AD198" si="401">AE198-AA198</f>
        <v>14</v>
      </c>
      <c r="AD198" s="20">
        <f t="shared" si="401"/>
        <v>0.2058823529</v>
      </c>
      <c r="AE198" s="15">
        <v>14.0</v>
      </c>
      <c r="AF198" s="20">
        <f t="shared" si="10"/>
        <v>0.2058823529</v>
      </c>
      <c r="AG198" s="15">
        <v>14.0</v>
      </c>
      <c r="AH198" s="20">
        <f t="shared" si="11"/>
        <v>0.2058823529</v>
      </c>
      <c r="AI198" s="15">
        <v>13.0</v>
      </c>
      <c r="AJ198" s="15">
        <v>0.0</v>
      </c>
      <c r="AK198" s="21">
        <v>1.0</v>
      </c>
      <c r="AL198" s="22">
        <v>0.205882352941176</v>
      </c>
      <c r="AM198" s="15">
        <v>0.0</v>
      </c>
      <c r="AN198" s="15">
        <v>53.0</v>
      </c>
      <c r="AO198" s="23" t="s">
        <v>697</v>
      </c>
      <c r="AP198" s="23" t="s">
        <v>697</v>
      </c>
      <c r="AQ198" s="13" t="s">
        <v>108</v>
      </c>
      <c r="AR198" s="24" t="s">
        <v>130</v>
      </c>
      <c r="AS198" s="24"/>
      <c r="AT198" s="25" t="s">
        <v>698</v>
      </c>
      <c r="AU198" s="26" t="s">
        <v>68</v>
      </c>
      <c r="AV198" s="27"/>
      <c r="AW198" s="24" t="s">
        <v>69</v>
      </c>
      <c r="AX198" s="28"/>
      <c r="AY198" s="29" t="s">
        <v>89</v>
      </c>
      <c r="AZ198" s="29"/>
      <c r="BA198" s="28"/>
      <c r="BB198" s="26" t="s">
        <v>90</v>
      </c>
      <c r="BC198" s="27"/>
      <c r="BD198" s="34" t="s">
        <v>91</v>
      </c>
      <c r="BE198" s="34"/>
      <c r="BF198" s="27"/>
      <c r="BG198" s="27"/>
      <c r="BH198" s="27"/>
    </row>
    <row r="199" ht="14.25" customHeight="1">
      <c r="A199" s="119" t="s">
        <v>699</v>
      </c>
      <c r="B199" s="119"/>
      <c r="C199" s="120"/>
      <c r="D199" s="14"/>
      <c r="E199" s="15"/>
      <c r="F199" s="15"/>
      <c r="G199" s="12"/>
      <c r="H199" s="16"/>
      <c r="I199" s="17">
        <v>1.0</v>
      </c>
      <c r="J199" s="18" t="s">
        <v>114</v>
      </c>
      <c r="K199" s="18" t="s">
        <v>270</v>
      </c>
      <c r="L199" s="18" t="s">
        <v>60</v>
      </c>
      <c r="M199" s="18" t="s">
        <v>60</v>
      </c>
      <c r="N199" s="18"/>
      <c r="O199" s="18" t="s">
        <v>60</v>
      </c>
      <c r="P199" s="18" t="s">
        <v>60</v>
      </c>
      <c r="Q199" s="19" t="s">
        <v>60</v>
      </c>
      <c r="R199" s="15">
        <f t="shared" si="3"/>
        <v>0</v>
      </c>
      <c r="S199" s="15">
        <v>6.0</v>
      </c>
      <c r="T199" s="15">
        <v>6.0</v>
      </c>
      <c r="U199" s="20">
        <f t="shared" si="4"/>
        <v>1</v>
      </c>
      <c r="V199" s="15">
        <f t="shared" si="5"/>
        <v>0</v>
      </c>
      <c r="W199" s="15">
        <v>6.0</v>
      </c>
      <c r="X199" s="20">
        <f t="shared" si="6"/>
        <v>1</v>
      </c>
      <c r="Y199" s="15">
        <f t="shared" ref="Y199:Z199" si="402">AE199-W199</f>
        <v>0</v>
      </c>
      <c r="Z199" s="20">
        <f t="shared" si="402"/>
        <v>0</v>
      </c>
      <c r="AA199" s="15">
        <v>6.0</v>
      </c>
      <c r="AB199" s="20">
        <f t="shared" si="8"/>
        <v>1</v>
      </c>
      <c r="AC199" s="15">
        <f t="shared" ref="AC199:AD199" si="403">AE199-AA199</f>
        <v>0</v>
      </c>
      <c r="AD199" s="20">
        <f t="shared" si="403"/>
        <v>0</v>
      </c>
      <c r="AE199" s="15">
        <v>6.0</v>
      </c>
      <c r="AF199" s="20">
        <f t="shared" si="10"/>
        <v>1</v>
      </c>
      <c r="AG199" s="15" t="e">
        <v>#N/A</v>
      </c>
      <c r="AH199" s="20" t="str">
        <f t="shared" si="11"/>
        <v>#N/A</v>
      </c>
      <c r="AI199" s="15">
        <v>6.0</v>
      </c>
      <c r="AJ199" s="15">
        <v>0.0</v>
      </c>
      <c r="AK199" s="21">
        <v>0.0</v>
      </c>
      <c r="AL199" s="22">
        <v>1.0</v>
      </c>
      <c r="AM199" s="15">
        <v>0.0</v>
      </c>
      <c r="AN199" s="15">
        <v>0.0</v>
      </c>
      <c r="AO199" s="23" t="s">
        <v>697</v>
      </c>
      <c r="AP199" s="23" t="s">
        <v>697</v>
      </c>
      <c r="AQ199" s="13" t="s">
        <v>108</v>
      </c>
      <c r="AR199" s="24" t="s">
        <v>66</v>
      </c>
      <c r="AS199" s="24"/>
      <c r="AT199" s="52" t="s">
        <v>700</v>
      </c>
      <c r="AU199" s="26" t="s">
        <v>253</v>
      </c>
      <c r="AV199" s="27"/>
      <c r="AW199" s="24" t="s">
        <v>133</v>
      </c>
      <c r="AX199" s="42">
        <v>46002.0</v>
      </c>
      <c r="AY199" s="29" t="s">
        <v>254</v>
      </c>
      <c r="AZ199" s="32"/>
      <c r="BA199" s="25" t="s">
        <v>701</v>
      </c>
      <c r="BB199" s="26" t="s">
        <v>168</v>
      </c>
      <c r="BC199" s="27"/>
      <c r="BD199" s="24" t="s">
        <v>112</v>
      </c>
      <c r="BE199" s="27"/>
      <c r="BF199" s="27"/>
      <c r="BG199" s="27"/>
      <c r="BH199" s="27"/>
    </row>
    <row r="200" ht="14.25" customHeight="1">
      <c r="A200" s="119" t="s">
        <v>702</v>
      </c>
      <c r="B200" s="119"/>
      <c r="C200" s="120"/>
      <c r="D200" s="14"/>
      <c r="E200" s="15"/>
      <c r="F200" s="15"/>
      <c r="G200" s="12"/>
      <c r="H200" s="16"/>
      <c r="I200" s="17">
        <v>1.0</v>
      </c>
      <c r="J200" s="18" t="s">
        <v>703</v>
      </c>
      <c r="K200" s="18" t="s">
        <v>270</v>
      </c>
      <c r="L200" s="18" t="s">
        <v>60</v>
      </c>
      <c r="M200" s="18" t="s">
        <v>60</v>
      </c>
      <c r="N200" s="18"/>
      <c r="O200" s="18" t="s">
        <v>60</v>
      </c>
      <c r="P200" s="18" t="s">
        <v>60</v>
      </c>
      <c r="Q200" s="19" t="s">
        <v>60</v>
      </c>
      <c r="R200" s="15">
        <f t="shared" si="3"/>
        <v>0</v>
      </c>
      <c r="S200" s="15">
        <v>9.0</v>
      </c>
      <c r="T200" s="15">
        <v>9.0</v>
      </c>
      <c r="U200" s="20">
        <f t="shared" si="4"/>
        <v>1</v>
      </c>
      <c r="V200" s="15">
        <f t="shared" si="5"/>
        <v>0</v>
      </c>
      <c r="W200" s="15">
        <v>9.0</v>
      </c>
      <c r="X200" s="20">
        <f t="shared" si="6"/>
        <v>1</v>
      </c>
      <c r="Y200" s="15">
        <f t="shared" ref="Y200:Z200" si="404">AE200-W200</f>
        <v>0</v>
      </c>
      <c r="Z200" s="20">
        <f t="shared" si="404"/>
        <v>0</v>
      </c>
      <c r="AA200" s="15">
        <v>9.0</v>
      </c>
      <c r="AB200" s="20">
        <f t="shared" si="8"/>
        <v>1</v>
      </c>
      <c r="AC200" s="15">
        <f t="shared" ref="AC200:AD200" si="405">AE200-AA200</f>
        <v>0</v>
      </c>
      <c r="AD200" s="20">
        <f t="shared" si="405"/>
        <v>0</v>
      </c>
      <c r="AE200" s="15">
        <v>9.0</v>
      </c>
      <c r="AF200" s="20">
        <f t="shared" si="10"/>
        <v>1</v>
      </c>
      <c r="AG200" s="15" t="e">
        <v>#N/A</v>
      </c>
      <c r="AH200" s="20" t="str">
        <f t="shared" si="11"/>
        <v>#N/A</v>
      </c>
      <c r="AI200" s="15">
        <v>9.0</v>
      </c>
      <c r="AJ200" s="15">
        <v>0.0</v>
      </c>
      <c r="AK200" s="21">
        <v>0.0</v>
      </c>
      <c r="AL200" s="22">
        <v>1.0</v>
      </c>
      <c r="AM200" s="15">
        <v>0.0</v>
      </c>
      <c r="AN200" s="15">
        <v>0.0</v>
      </c>
      <c r="AO200" s="23" t="s">
        <v>697</v>
      </c>
      <c r="AP200" s="23" t="s">
        <v>697</v>
      </c>
      <c r="AQ200" s="13" t="s">
        <v>108</v>
      </c>
      <c r="AR200" s="24" t="s">
        <v>66</v>
      </c>
      <c r="AS200" s="24"/>
      <c r="AT200" s="25" t="s">
        <v>704</v>
      </c>
      <c r="AU200" s="26" t="s">
        <v>68</v>
      </c>
      <c r="AV200" s="36"/>
      <c r="AW200" s="24" t="s">
        <v>69</v>
      </c>
      <c r="AX200" s="27"/>
      <c r="AY200" s="29" t="s">
        <v>70</v>
      </c>
      <c r="AZ200" s="30"/>
      <c r="BA200" s="25" t="s">
        <v>705</v>
      </c>
      <c r="BB200" s="26" t="s">
        <v>118</v>
      </c>
      <c r="BC200" s="27"/>
      <c r="BD200" s="24"/>
      <c r="BE200" s="27"/>
      <c r="BF200" s="27"/>
      <c r="BG200" s="27"/>
      <c r="BH200" s="27"/>
    </row>
    <row r="201" ht="14.25" customHeight="1">
      <c r="A201" s="43" t="s">
        <v>706</v>
      </c>
      <c r="B201" s="43"/>
      <c r="C201" s="44"/>
      <c r="D201" s="45"/>
      <c r="E201" s="46"/>
      <c r="F201" s="46"/>
      <c r="G201" s="43"/>
      <c r="H201" s="47"/>
      <c r="I201" s="17">
        <v>0.0</v>
      </c>
      <c r="J201" s="18"/>
      <c r="K201" s="18"/>
      <c r="L201" s="18" t="s">
        <v>84</v>
      </c>
      <c r="M201" s="18" t="s">
        <v>84</v>
      </c>
      <c r="N201" s="18"/>
      <c r="O201" s="18" t="s">
        <v>60</v>
      </c>
      <c r="P201" s="18" t="s">
        <v>60</v>
      </c>
      <c r="Q201" s="19" t="s">
        <v>60</v>
      </c>
      <c r="R201" s="46">
        <f t="shared" si="3"/>
        <v>0</v>
      </c>
      <c r="S201" s="46">
        <v>29.0</v>
      </c>
      <c r="T201" s="15">
        <v>0.0</v>
      </c>
      <c r="U201" s="20">
        <f t="shared" si="4"/>
        <v>0</v>
      </c>
      <c r="V201" s="15">
        <f t="shared" si="5"/>
        <v>14</v>
      </c>
      <c r="W201" s="15">
        <v>3.0</v>
      </c>
      <c r="X201" s="20">
        <f t="shared" si="6"/>
        <v>0.1034482759</v>
      </c>
      <c r="Y201" s="15">
        <f t="shared" ref="Y201:Z201" si="406">AE201-W201</f>
        <v>0</v>
      </c>
      <c r="Z201" s="20">
        <f t="shared" si="406"/>
        <v>0</v>
      </c>
      <c r="AA201" s="15">
        <v>3.0</v>
      </c>
      <c r="AB201" s="20">
        <f t="shared" si="8"/>
        <v>0.1034482759</v>
      </c>
      <c r="AC201" s="15">
        <f t="shared" ref="AC201:AD201" si="407">AE201-AA201</f>
        <v>0</v>
      </c>
      <c r="AD201" s="20">
        <f t="shared" si="407"/>
        <v>0</v>
      </c>
      <c r="AE201" s="46">
        <v>3.0</v>
      </c>
      <c r="AF201" s="48">
        <f t="shared" si="10"/>
        <v>0.1034482759</v>
      </c>
      <c r="AG201" s="46">
        <v>3.0</v>
      </c>
      <c r="AH201" s="48">
        <f t="shared" si="11"/>
        <v>0.1034482759</v>
      </c>
      <c r="AI201" s="46">
        <v>14.0</v>
      </c>
      <c r="AJ201" s="46">
        <v>0.0</v>
      </c>
      <c r="AK201" s="49">
        <v>0.0</v>
      </c>
      <c r="AL201" s="50">
        <v>0.482758620689655</v>
      </c>
      <c r="AM201" s="46">
        <v>15.0</v>
      </c>
      <c r="AN201" s="46">
        <v>15.0</v>
      </c>
      <c r="AO201" s="51" t="s">
        <v>697</v>
      </c>
      <c r="AP201" s="51" t="s">
        <v>697</v>
      </c>
      <c r="AQ201" s="44" t="s">
        <v>93</v>
      </c>
      <c r="AR201" s="34" t="s">
        <v>66</v>
      </c>
      <c r="AS201" s="34"/>
      <c r="AT201" s="52" t="s">
        <v>707</v>
      </c>
      <c r="AU201" s="53" t="s">
        <v>68</v>
      </c>
      <c r="AV201" s="54"/>
      <c r="AW201" s="34" t="s">
        <v>54</v>
      </c>
      <c r="AX201" s="52" t="s">
        <v>708</v>
      </c>
      <c r="AY201" s="29" t="s">
        <v>70</v>
      </c>
      <c r="AZ201" s="32"/>
      <c r="BA201" s="52" t="s">
        <v>709</v>
      </c>
      <c r="BB201" s="26" t="s">
        <v>90</v>
      </c>
      <c r="BC201" s="54"/>
      <c r="BD201" s="24"/>
      <c r="BE201" s="54"/>
      <c r="BF201" s="54"/>
      <c r="BG201" s="54"/>
      <c r="BH201" s="54"/>
    </row>
    <row r="202" ht="14.25" customHeight="1">
      <c r="A202" s="12" t="s">
        <v>710</v>
      </c>
      <c r="B202" s="12"/>
      <c r="C202" s="13"/>
      <c r="D202" s="14"/>
      <c r="E202" s="15"/>
      <c r="F202" s="15"/>
      <c r="G202" s="12"/>
      <c r="H202" s="16"/>
      <c r="I202" s="17">
        <v>1.0</v>
      </c>
      <c r="J202" s="18" t="s">
        <v>711</v>
      </c>
      <c r="K202" s="18" t="s">
        <v>270</v>
      </c>
      <c r="L202" s="18" t="s">
        <v>60</v>
      </c>
      <c r="M202" s="18" t="s">
        <v>62</v>
      </c>
      <c r="N202" s="18"/>
      <c r="O202" s="18" t="s">
        <v>60</v>
      </c>
      <c r="P202" s="18" t="s">
        <v>60</v>
      </c>
      <c r="Q202" s="19" t="s">
        <v>60</v>
      </c>
      <c r="R202" s="15">
        <f t="shared" si="3"/>
        <v>0</v>
      </c>
      <c r="S202" s="15">
        <v>10.0</v>
      </c>
      <c r="T202" s="15">
        <v>10.0</v>
      </c>
      <c r="U202" s="20">
        <f t="shared" si="4"/>
        <v>1</v>
      </c>
      <c r="V202" s="15">
        <f t="shared" si="5"/>
        <v>0</v>
      </c>
      <c r="W202" s="15">
        <v>10.0</v>
      </c>
      <c r="X202" s="20">
        <f t="shared" si="6"/>
        <v>1</v>
      </c>
      <c r="Y202" s="15">
        <f t="shared" ref="Y202:Z202" si="408">AE202-W202</f>
        <v>0</v>
      </c>
      <c r="Z202" s="20">
        <f t="shared" si="408"/>
        <v>0</v>
      </c>
      <c r="AA202" s="15">
        <v>10.0</v>
      </c>
      <c r="AB202" s="20">
        <f t="shared" si="8"/>
        <v>1</v>
      </c>
      <c r="AC202" s="15">
        <f t="shared" ref="AC202:AD202" si="409">AE202-AA202</f>
        <v>0</v>
      </c>
      <c r="AD202" s="20">
        <f t="shared" si="409"/>
        <v>0</v>
      </c>
      <c r="AE202" s="15">
        <v>10.0</v>
      </c>
      <c r="AF202" s="20">
        <f t="shared" si="10"/>
        <v>1</v>
      </c>
      <c r="AG202" s="15" t="e">
        <v>#N/A</v>
      </c>
      <c r="AH202" s="20" t="str">
        <f t="shared" si="11"/>
        <v>#N/A</v>
      </c>
      <c r="AI202" s="15">
        <v>10.0</v>
      </c>
      <c r="AJ202" s="15">
        <v>0.0</v>
      </c>
      <c r="AK202" s="21">
        <v>0.0</v>
      </c>
      <c r="AL202" s="22">
        <v>1.0</v>
      </c>
      <c r="AM202" s="15">
        <v>0.0</v>
      </c>
      <c r="AN202" s="15">
        <v>0.0</v>
      </c>
      <c r="AO202" s="23" t="s">
        <v>697</v>
      </c>
      <c r="AP202" s="23" t="s">
        <v>697</v>
      </c>
      <c r="AQ202" s="13" t="s">
        <v>108</v>
      </c>
      <c r="AR202" s="24" t="s">
        <v>66</v>
      </c>
      <c r="AS202" s="24"/>
      <c r="AT202" s="25" t="s">
        <v>712</v>
      </c>
      <c r="AU202" s="26" t="s">
        <v>68</v>
      </c>
      <c r="AV202" s="27"/>
      <c r="AW202" s="24" t="s">
        <v>69</v>
      </c>
      <c r="AX202" s="28"/>
      <c r="AY202" s="29" t="s">
        <v>70</v>
      </c>
      <c r="AZ202" s="30"/>
      <c r="BA202" s="25" t="s">
        <v>713</v>
      </c>
      <c r="BB202" s="26" t="s">
        <v>118</v>
      </c>
      <c r="BC202" s="27"/>
      <c r="BD202" s="24" t="s">
        <v>112</v>
      </c>
      <c r="BE202" s="27"/>
      <c r="BF202" s="27"/>
      <c r="BG202" s="27"/>
      <c r="BH202" s="27"/>
    </row>
    <row r="203" ht="14.25" customHeight="1">
      <c r="A203" s="119" t="s">
        <v>714</v>
      </c>
      <c r="B203" s="119"/>
      <c r="C203" s="120"/>
      <c r="D203" s="14"/>
      <c r="E203" s="15"/>
      <c r="F203" s="15"/>
      <c r="G203" s="12"/>
      <c r="H203" s="16"/>
      <c r="I203" s="17">
        <v>0.8</v>
      </c>
      <c r="J203" s="18" t="s">
        <v>703</v>
      </c>
      <c r="K203" s="18" t="s">
        <v>270</v>
      </c>
      <c r="L203" s="18" t="s">
        <v>60</v>
      </c>
      <c r="M203" s="18" t="s">
        <v>60</v>
      </c>
      <c r="N203" s="18"/>
      <c r="O203" s="18" t="s">
        <v>60</v>
      </c>
      <c r="P203" s="18" t="s">
        <v>60</v>
      </c>
      <c r="Q203" s="19" t="s">
        <v>60</v>
      </c>
      <c r="R203" s="15">
        <f t="shared" si="3"/>
        <v>0</v>
      </c>
      <c r="S203" s="15">
        <v>5.0</v>
      </c>
      <c r="T203" s="15">
        <v>4.0</v>
      </c>
      <c r="U203" s="20">
        <f t="shared" si="4"/>
        <v>0.8</v>
      </c>
      <c r="V203" s="15">
        <f t="shared" si="5"/>
        <v>0</v>
      </c>
      <c r="W203" s="15">
        <v>4.0</v>
      </c>
      <c r="X203" s="20">
        <f t="shared" si="6"/>
        <v>0.8</v>
      </c>
      <c r="Y203" s="15">
        <f t="shared" ref="Y203:Z203" si="410">AE203-W203</f>
        <v>0</v>
      </c>
      <c r="Z203" s="20">
        <f t="shared" si="410"/>
        <v>0</v>
      </c>
      <c r="AA203" s="15">
        <v>4.0</v>
      </c>
      <c r="AB203" s="20">
        <f t="shared" si="8"/>
        <v>0.8</v>
      </c>
      <c r="AC203" s="15">
        <f t="shared" ref="AC203:AD203" si="411">AE203-AA203</f>
        <v>0</v>
      </c>
      <c r="AD203" s="20">
        <f t="shared" si="411"/>
        <v>0</v>
      </c>
      <c r="AE203" s="15">
        <v>4.0</v>
      </c>
      <c r="AF203" s="20">
        <f t="shared" si="10"/>
        <v>0.8</v>
      </c>
      <c r="AG203" s="15" t="e">
        <v>#N/A</v>
      </c>
      <c r="AH203" s="20" t="str">
        <f t="shared" si="11"/>
        <v>#N/A</v>
      </c>
      <c r="AI203" s="15">
        <v>4.0</v>
      </c>
      <c r="AJ203" s="15">
        <v>0.0</v>
      </c>
      <c r="AK203" s="21">
        <v>0.0</v>
      </c>
      <c r="AL203" s="22">
        <v>0.8</v>
      </c>
      <c r="AM203" s="15">
        <v>0.0</v>
      </c>
      <c r="AN203" s="15">
        <v>1.0</v>
      </c>
      <c r="AO203" s="23" t="s">
        <v>697</v>
      </c>
      <c r="AP203" s="23" t="s">
        <v>697</v>
      </c>
      <c r="AQ203" s="13" t="s">
        <v>108</v>
      </c>
      <c r="AR203" s="24" t="s">
        <v>130</v>
      </c>
      <c r="AS203" s="24"/>
      <c r="AT203" s="25" t="s">
        <v>715</v>
      </c>
      <c r="AU203" s="26" t="s">
        <v>68</v>
      </c>
      <c r="AV203" s="27"/>
      <c r="AW203" s="24" t="s">
        <v>100</v>
      </c>
      <c r="AX203" s="28"/>
      <c r="AY203" s="29" t="s">
        <v>70</v>
      </c>
      <c r="AZ203" s="32"/>
      <c r="BA203" s="25" t="s">
        <v>716</v>
      </c>
      <c r="BB203" s="26" t="s">
        <v>361</v>
      </c>
      <c r="BC203" s="27"/>
      <c r="BD203" s="24"/>
      <c r="BE203" s="27"/>
      <c r="BF203" s="27"/>
      <c r="BG203" s="27"/>
      <c r="BH203" s="27"/>
    </row>
    <row r="204" ht="14.25" customHeight="1">
      <c r="A204" s="119" t="s">
        <v>717</v>
      </c>
      <c r="B204" s="119"/>
      <c r="C204" s="120"/>
      <c r="D204" s="14"/>
      <c r="E204" s="15"/>
      <c r="F204" s="15"/>
      <c r="G204" s="12"/>
      <c r="H204" s="16"/>
      <c r="I204" s="17">
        <v>0.0</v>
      </c>
      <c r="J204" s="18"/>
      <c r="K204" s="18"/>
      <c r="L204" s="18" t="s">
        <v>84</v>
      </c>
      <c r="M204" s="18" t="s">
        <v>84</v>
      </c>
      <c r="N204" s="18"/>
      <c r="O204" s="18" t="s">
        <v>84</v>
      </c>
      <c r="P204" s="18" t="s">
        <v>84</v>
      </c>
      <c r="Q204" s="18" t="s">
        <v>84</v>
      </c>
      <c r="R204" s="15">
        <f t="shared" si="3"/>
        <v>0</v>
      </c>
      <c r="S204" s="15">
        <v>6.0</v>
      </c>
      <c r="T204" s="15">
        <v>0.0</v>
      </c>
      <c r="U204" s="20">
        <f t="shared" si="4"/>
        <v>0</v>
      </c>
      <c r="V204" s="15">
        <f t="shared" si="5"/>
        <v>2</v>
      </c>
      <c r="W204" s="15">
        <v>0.0</v>
      </c>
      <c r="X204" s="20">
        <f t="shared" si="6"/>
        <v>0</v>
      </c>
      <c r="Y204" s="15">
        <f t="shared" ref="Y204:Z204" si="412">AE204-W204</f>
        <v>2</v>
      </c>
      <c r="Z204" s="20">
        <f t="shared" si="412"/>
        <v>0.3333333333</v>
      </c>
      <c r="AA204" s="15">
        <v>0.0</v>
      </c>
      <c r="AB204" s="20">
        <f t="shared" si="8"/>
        <v>0</v>
      </c>
      <c r="AC204" s="15">
        <f t="shared" ref="AC204:AD204" si="413">AE204-AA204</f>
        <v>2</v>
      </c>
      <c r="AD204" s="20">
        <f t="shared" si="413"/>
        <v>0.3333333333</v>
      </c>
      <c r="AE204" s="15">
        <v>2.0</v>
      </c>
      <c r="AF204" s="20">
        <f t="shared" si="10"/>
        <v>0.3333333333</v>
      </c>
      <c r="AG204" s="15">
        <v>2.0</v>
      </c>
      <c r="AH204" s="20">
        <f t="shared" si="11"/>
        <v>0.3333333333</v>
      </c>
      <c r="AI204" s="15">
        <v>2.0</v>
      </c>
      <c r="AJ204" s="15">
        <v>0.0</v>
      </c>
      <c r="AK204" s="21">
        <v>0.0</v>
      </c>
      <c r="AL204" s="22">
        <v>0.333333333333333</v>
      </c>
      <c r="AM204" s="15">
        <v>4.0</v>
      </c>
      <c r="AN204" s="15">
        <v>4.0</v>
      </c>
      <c r="AO204" s="23" t="s">
        <v>697</v>
      </c>
      <c r="AP204" s="23" t="s">
        <v>697</v>
      </c>
      <c r="AQ204" s="13" t="e">
        <v>#N/A</v>
      </c>
      <c r="AR204" s="24" t="s">
        <v>66</v>
      </c>
      <c r="AS204" s="24"/>
      <c r="AT204" s="25" t="s">
        <v>718</v>
      </c>
      <c r="AU204" s="26" t="s">
        <v>68</v>
      </c>
      <c r="AV204" s="27"/>
      <c r="AW204" s="24" t="s">
        <v>69</v>
      </c>
      <c r="AX204" s="28"/>
      <c r="AY204" s="29" t="s">
        <v>89</v>
      </c>
      <c r="AZ204" s="29"/>
      <c r="BA204" s="28"/>
      <c r="BB204" s="26" t="s">
        <v>90</v>
      </c>
      <c r="BC204" s="27"/>
      <c r="BD204" s="34" t="s">
        <v>91</v>
      </c>
      <c r="BE204" s="34"/>
      <c r="BF204" s="27"/>
      <c r="BG204" s="27"/>
      <c r="BH204" s="27"/>
    </row>
    <row r="205" ht="14.25" customHeight="1">
      <c r="A205" s="119" t="s">
        <v>719</v>
      </c>
      <c r="B205" s="119"/>
      <c r="C205" s="120"/>
      <c r="D205" s="14"/>
      <c r="E205" s="15"/>
      <c r="F205" s="15"/>
      <c r="G205" s="12"/>
      <c r="H205" s="16"/>
      <c r="I205" s="17">
        <v>0.0545</v>
      </c>
      <c r="J205" s="18"/>
      <c r="K205" s="18" t="s">
        <v>62</v>
      </c>
      <c r="L205" s="18" t="s">
        <v>62</v>
      </c>
      <c r="M205" s="18" t="s">
        <v>264</v>
      </c>
      <c r="N205" s="18"/>
      <c r="O205" s="18" t="s">
        <v>84</v>
      </c>
      <c r="P205" s="18" t="s">
        <v>129</v>
      </c>
      <c r="Q205" s="18" t="s">
        <v>129</v>
      </c>
      <c r="R205" s="15">
        <f t="shared" si="3"/>
        <v>0</v>
      </c>
      <c r="S205" s="15">
        <v>46.0</v>
      </c>
      <c r="T205" s="15">
        <v>0.0</v>
      </c>
      <c r="U205" s="20">
        <f t="shared" si="4"/>
        <v>0</v>
      </c>
      <c r="V205" s="15">
        <f t="shared" si="5"/>
        <v>8</v>
      </c>
      <c r="W205" s="15">
        <v>0.0</v>
      </c>
      <c r="X205" s="20">
        <f t="shared" si="6"/>
        <v>0</v>
      </c>
      <c r="Y205" s="15">
        <f t="shared" ref="Y205:Z205" si="414">AE205-W205</f>
        <v>7</v>
      </c>
      <c r="Z205" s="20">
        <f t="shared" si="414"/>
        <v>0.152173913</v>
      </c>
      <c r="AA205" s="15">
        <v>1.0</v>
      </c>
      <c r="AB205" s="20">
        <f t="shared" si="8"/>
        <v>0.02173913043</v>
      </c>
      <c r="AC205" s="15">
        <f t="shared" ref="AC205:AD205" si="415">AE205-AA205</f>
        <v>6</v>
      </c>
      <c r="AD205" s="20">
        <f t="shared" si="415"/>
        <v>0.1304347826</v>
      </c>
      <c r="AE205" s="15">
        <v>7.0</v>
      </c>
      <c r="AF205" s="20">
        <f t="shared" si="10"/>
        <v>0.152173913</v>
      </c>
      <c r="AG205" s="15">
        <v>7.0</v>
      </c>
      <c r="AH205" s="20">
        <f t="shared" si="11"/>
        <v>0.152173913</v>
      </c>
      <c r="AI205" s="15">
        <v>8.0</v>
      </c>
      <c r="AJ205" s="15">
        <v>0.0</v>
      </c>
      <c r="AK205" s="21">
        <v>0.0</v>
      </c>
      <c r="AL205" s="22">
        <v>0.173913043478261</v>
      </c>
      <c r="AM205" s="15">
        <v>30.0</v>
      </c>
      <c r="AN205" s="15">
        <v>18.0</v>
      </c>
      <c r="AO205" s="23" t="s">
        <v>697</v>
      </c>
      <c r="AP205" s="23" t="s">
        <v>697</v>
      </c>
      <c r="AQ205" s="13" t="s">
        <v>104</v>
      </c>
      <c r="AR205" s="24" t="s">
        <v>130</v>
      </c>
      <c r="AS205" s="24"/>
      <c r="AT205" s="25" t="s">
        <v>720</v>
      </c>
      <c r="AU205" s="26" t="s">
        <v>68</v>
      </c>
      <c r="AV205" s="27"/>
      <c r="AW205" s="24" t="s">
        <v>100</v>
      </c>
      <c r="AX205" s="28"/>
      <c r="AY205" s="29" t="s">
        <v>89</v>
      </c>
      <c r="AZ205" s="29"/>
      <c r="BA205" s="28"/>
      <c r="BB205" s="26" t="s">
        <v>90</v>
      </c>
      <c r="BC205" s="27"/>
      <c r="BD205" s="34" t="s">
        <v>91</v>
      </c>
      <c r="BE205" s="34"/>
      <c r="BF205" s="27"/>
      <c r="BG205" s="27"/>
      <c r="BH205" s="27"/>
    </row>
    <row r="206" ht="14.25" customHeight="1">
      <c r="A206" s="12" t="s">
        <v>721</v>
      </c>
      <c r="B206" s="12"/>
      <c r="C206" s="13"/>
      <c r="D206" s="14"/>
      <c r="E206" s="15"/>
      <c r="F206" s="15"/>
      <c r="G206" s="12"/>
      <c r="H206" s="16"/>
      <c r="I206" s="17">
        <v>0.8636</v>
      </c>
      <c r="J206" s="18" t="s">
        <v>114</v>
      </c>
      <c r="K206" s="18" t="s">
        <v>270</v>
      </c>
      <c r="L206" s="18" t="s">
        <v>60</v>
      </c>
      <c r="M206" s="18" t="s">
        <v>62</v>
      </c>
      <c r="N206" s="18"/>
      <c r="O206" s="18" t="s">
        <v>60</v>
      </c>
      <c r="P206" s="18" t="s">
        <v>60</v>
      </c>
      <c r="Q206" s="19" t="s">
        <v>60</v>
      </c>
      <c r="R206" s="15">
        <f t="shared" si="3"/>
        <v>0</v>
      </c>
      <c r="S206" s="15">
        <v>19.0</v>
      </c>
      <c r="T206" s="15">
        <v>19.0</v>
      </c>
      <c r="U206" s="20">
        <f t="shared" si="4"/>
        <v>1</v>
      </c>
      <c r="V206" s="15">
        <f t="shared" si="5"/>
        <v>0</v>
      </c>
      <c r="W206" s="15">
        <v>19.0</v>
      </c>
      <c r="X206" s="20">
        <f t="shared" si="6"/>
        <v>1</v>
      </c>
      <c r="Y206" s="15">
        <f t="shared" ref="Y206:Z206" si="416">AE206-W206</f>
        <v>0</v>
      </c>
      <c r="Z206" s="20">
        <f t="shared" si="416"/>
        <v>0</v>
      </c>
      <c r="AA206" s="15">
        <v>19.0</v>
      </c>
      <c r="AB206" s="20">
        <f t="shared" si="8"/>
        <v>1</v>
      </c>
      <c r="AC206" s="15">
        <f t="shared" ref="AC206:AD206" si="417">AE206-AA206</f>
        <v>0</v>
      </c>
      <c r="AD206" s="20">
        <f t="shared" si="417"/>
        <v>0</v>
      </c>
      <c r="AE206" s="15">
        <v>19.0</v>
      </c>
      <c r="AF206" s="20">
        <f t="shared" si="10"/>
        <v>1</v>
      </c>
      <c r="AG206" s="15">
        <v>19.0</v>
      </c>
      <c r="AH206" s="20">
        <f t="shared" si="11"/>
        <v>1</v>
      </c>
      <c r="AI206" s="15">
        <v>19.0</v>
      </c>
      <c r="AJ206" s="15">
        <v>0.0</v>
      </c>
      <c r="AK206" s="21">
        <v>0.0</v>
      </c>
      <c r="AL206" s="22">
        <v>1.0</v>
      </c>
      <c r="AM206" s="15">
        <v>0.0</v>
      </c>
      <c r="AN206" s="15">
        <v>0.0</v>
      </c>
      <c r="AO206" s="23" t="s">
        <v>697</v>
      </c>
      <c r="AP206" s="23" t="s">
        <v>697</v>
      </c>
      <c r="AQ206" s="13" t="s">
        <v>93</v>
      </c>
      <c r="AR206" s="24" t="s">
        <v>66</v>
      </c>
      <c r="AS206" s="24"/>
      <c r="AT206" s="52" t="s">
        <v>722</v>
      </c>
      <c r="AU206" s="26" t="s">
        <v>253</v>
      </c>
      <c r="AV206" s="27"/>
      <c r="AW206" s="24" t="s">
        <v>133</v>
      </c>
      <c r="AX206" s="42">
        <v>46002.0</v>
      </c>
      <c r="AY206" s="29" t="s">
        <v>254</v>
      </c>
      <c r="AZ206" s="30"/>
      <c r="BA206" s="25" t="s">
        <v>723</v>
      </c>
      <c r="BB206" s="26" t="s">
        <v>72</v>
      </c>
      <c r="BC206" s="27"/>
      <c r="BD206" s="24" t="s">
        <v>112</v>
      </c>
      <c r="BE206" s="27"/>
      <c r="BF206" s="27"/>
      <c r="BG206" s="27"/>
      <c r="BH206" s="27"/>
    </row>
    <row r="207" ht="14.25" customHeight="1">
      <c r="A207" s="119" t="s">
        <v>724</v>
      </c>
      <c r="B207" s="119"/>
      <c r="C207" s="120"/>
      <c r="D207" s="14"/>
      <c r="E207" s="15"/>
      <c r="F207" s="15"/>
      <c r="G207" s="12"/>
      <c r="H207" s="16"/>
      <c r="I207" s="17">
        <v>1.0</v>
      </c>
      <c r="J207" s="18" t="s">
        <v>725</v>
      </c>
      <c r="K207" s="18" t="s">
        <v>568</v>
      </c>
      <c r="L207" s="18" t="s">
        <v>61</v>
      </c>
      <c r="M207" s="18" t="s">
        <v>60</v>
      </c>
      <c r="N207" s="18"/>
      <c r="O207" s="18" t="s">
        <v>60</v>
      </c>
      <c r="P207" s="18" t="s">
        <v>60</v>
      </c>
      <c r="Q207" s="19" t="s">
        <v>60</v>
      </c>
      <c r="R207" s="15">
        <f t="shared" si="3"/>
        <v>0</v>
      </c>
      <c r="S207" s="15">
        <v>1.0</v>
      </c>
      <c r="T207" s="15">
        <v>1.0</v>
      </c>
      <c r="U207" s="20">
        <f t="shared" si="4"/>
        <v>1</v>
      </c>
      <c r="V207" s="15">
        <f t="shared" si="5"/>
        <v>0</v>
      </c>
      <c r="W207" s="15">
        <v>1.0</v>
      </c>
      <c r="X207" s="20">
        <f t="shared" si="6"/>
        <v>1</v>
      </c>
      <c r="Y207" s="15">
        <f t="shared" ref="Y207:Z207" si="418">AE207-W207</f>
        <v>0</v>
      </c>
      <c r="Z207" s="20">
        <f t="shared" si="418"/>
        <v>0</v>
      </c>
      <c r="AA207" s="15">
        <v>1.0</v>
      </c>
      <c r="AB207" s="20">
        <f t="shared" si="8"/>
        <v>1</v>
      </c>
      <c r="AC207" s="15">
        <f t="shared" ref="AC207:AD207" si="419">AE207-AA207</f>
        <v>0</v>
      </c>
      <c r="AD207" s="20">
        <f t="shared" si="419"/>
        <v>0</v>
      </c>
      <c r="AE207" s="15">
        <v>1.0</v>
      </c>
      <c r="AF207" s="20">
        <f t="shared" si="10"/>
        <v>1</v>
      </c>
      <c r="AG207" s="15" t="e">
        <v>#N/A</v>
      </c>
      <c r="AH207" s="20" t="str">
        <f t="shared" si="11"/>
        <v>#N/A</v>
      </c>
      <c r="AI207" s="15">
        <v>1.0</v>
      </c>
      <c r="AJ207" s="15">
        <v>0.0</v>
      </c>
      <c r="AK207" s="21">
        <v>0.0</v>
      </c>
      <c r="AL207" s="22">
        <v>1.0</v>
      </c>
      <c r="AM207" s="15">
        <v>0.0</v>
      </c>
      <c r="AN207" s="15">
        <v>0.0</v>
      </c>
      <c r="AO207" s="23" t="s">
        <v>697</v>
      </c>
      <c r="AP207" s="23" t="s">
        <v>697</v>
      </c>
      <c r="AQ207" s="13" t="s">
        <v>108</v>
      </c>
      <c r="AR207" s="24" t="s">
        <v>66</v>
      </c>
      <c r="AS207" s="24"/>
      <c r="AT207" s="25" t="s">
        <v>726</v>
      </c>
      <c r="AU207" s="26" t="s">
        <v>68</v>
      </c>
      <c r="AV207" s="27"/>
      <c r="AW207" s="24" t="s">
        <v>100</v>
      </c>
      <c r="AX207" s="28"/>
      <c r="AY207" s="29" t="s">
        <v>70</v>
      </c>
      <c r="AZ207" s="32"/>
      <c r="BA207" s="25" t="s">
        <v>727</v>
      </c>
      <c r="BB207" s="26" t="s">
        <v>692</v>
      </c>
      <c r="BC207" s="31">
        <v>46062.0</v>
      </c>
      <c r="BD207" s="24"/>
      <c r="BE207" s="27"/>
      <c r="BF207" s="27"/>
      <c r="BG207" s="27"/>
      <c r="BH207" s="27"/>
    </row>
    <row r="208" ht="14.25" customHeight="1">
      <c r="A208" s="119" t="s">
        <v>728</v>
      </c>
      <c r="B208" s="119"/>
      <c r="C208" s="120"/>
      <c r="D208" s="14"/>
      <c r="E208" s="15"/>
      <c r="F208" s="15"/>
      <c r="G208" s="12"/>
      <c r="H208" s="16"/>
      <c r="I208" s="17">
        <v>1.0</v>
      </c>
      <c r="J208" s="18" t="s">
        <v>703</v>
      </c>
      <c r="K208" s="18" t="s">
        <v>270</v>
      </c>
      <c r="L208" s="18" t="s">
        <v>60</v>
      </c>
      <c r="M208" s="18" t="s">
        <v>60</v>
      </c>
      <c r="N208" s="18"/>
      <c r="O208" s="18" t="s">
        <v>60</v>
      </c>
      <c r="P208" s="18" t="s">
        <v>60</v>
      </c>
      <c r="Q208" s="19" t="s">
        <v>60</v>
      </c>
      <c r="R208" s="15">
        <f t="shared" si="3"/>
        <v>0</v>
      </c>
      <c r="S208" s="15">
        <v>1.0</v>
      </c>
      <c r="T208" s="15">
        <v>1.0</v>
      </c>
      <c r="U208" s="20">
        <f t="shared" si="4"/>
        <v>1</v>
      </c>
      <c r="V208" s="15">
        <f t="shared" si="5"/>
        <v>0</v>
      </c>
      <c r="W208" s="15">
        <v>1.0</v>
      </c>
      <c r="X208" s="20">
        <f t="shared" si="6"/>
        <v>1</v>
      </c>
      <c r="Y208" s="15">
        <f t="shared" ref="Y208:Z208" si="420">AE208-W208</f>
        <v>0</v>
      </c>
      <c r="Z208" s="20">
        <f t="shared" si="420"/>
        <v>0</v>
      </c>
      <c r="AA208" s="15">
        <v>1.0</v>
      </c>
      <c r="AB208" s="20">
        <f t="shared" si="8"/>
        <v>1</v>
      </c>
      <c r="AC208" s="15">
        <f t="shared" ref="AC208:AD208" si="421">AE208-AA208</f>
        <v>0</v>
      </c>
      <c r="AD208" s="20">
        <f t="shared" si="421"/>
        <v>0</v>
      </c>
      <c r="AE208" s="15">
        <v>1.0</v>
      </c>
      <c r="AF208" s="20">
        <f t="shared" si="10"/>
        <v>1</v>
      </c>
      <c r="AG208" s="15" t="e">
        <v>#N/A</v>
      </c>
      <c r="AH208" s="20" t="str">
        <f t="shared" si="11"/>
        <v>#N/A</v>
      </c>
      <c r="AI208" s="15">
        <v>1.0</v>
      </c>
      <c r="AJ208" s="15">
        <v>0.0</v>
      </c>
      <c r="AK208" s="21">
        <v>0.0</v>
      </c>
      <c r="AL208" s="22">
        <v>1.0</v>
      </c>
      <c r="AM208" s="15">
        <v>0.0</v>
      </c>
      <c r="AN208" s="15">
        <v>0.0</v>
      </c>
      <c r="AO208" s="23" t="s">
        <v>697</v>
      </c>
      <c r="AP208" s="23" t="s">
        <v>697</v>
      </c>
      <c r="AQ208" s="13" t="s">
        <v>93</v>
      </c>
      <c r="AR208" s="24" t="s">
        <v>66</v>
      </c>
      <c r="AS208" s="24"/>
      <c r="AT208" s="25" t="s">
        <v>729</v>
      </c>
      <c r="AU208" s="26" t="s">
        <v>68</v>
      </c>
      <c r="AV208" s="27"/>
      <c r="AW208" s="24" t="s">
        <v>79</v>
      </c>
      <c r="AX208" s="28"/>
      <c r="AY208" s="29" t="s">
        <v>70</v>
      </c>
      <c r="AZ208" s="30"/>
      <c r="BA208" s="25" t="s">
        <v>730</v>
      </c>
      <c r="BB208" s="26" t="s">
        <v>731</v>
      </c>
      <c r="BC208" s="27"/>
      <c r="BD208" s="24"/>
      <c r="BE208" s="27"/>
      <c r="BF208" s="27"/>
      <c r="BG208" s="27"/>
      <c r="BH208" s="27"/>
    </row>
    <row r="209" ht="14.25" customHeight="1">
      <c r="A209" s="119" t="s">
        <v>732</v>
      </c>
      <c r="B209" s="119"/>
      <c r="C209" s="120"/>
      <c r="D209" s="14"/>
      <c r="E209" s="15"/>
      <c r="F209" s="15"/>
      <c r="G209" s="12"/>
      <c r="H209" s="16"/>
      <c r="I209" s="17">
        <v>1.0</v>
      </c>
      <c r="J209" s="18"/>
      <c r="K209" s="18" t="s">
        <v>75</v>
      </c>
      <c r="L209" s="18" t="s">
        <v>61</v>
      </c>
      <c r="M209" s="18" t="s">
        <v>60</v>
      </c>
      <c r="N209" s="18"/>
      <c r="O209" s="18" t="s">
        <v>60</v>
      </c>
      <c r="P209" s="18" t="s">
        <v>60</v>
      </c>
      <c r="Q209" s="19" t="s">
        <v>60</v>
      </c>
      <c r="R209" s="15">
        <f t="shared" si="3"/>
        <v>0</v>
      </c>
      <c r="S209" s="15">
        <v>2.0</v>
      </c>
      <c r="T209" s="15">
        <v>2.0</v>
      </c>
      <c r="U209" s="20">
        <f t="shared" si="4"/>
        <v>1</v>
      </c>
      <c r="V209" s="15">
        <f t="shared" si="5"/>
        <v>0</v>
      </c>
      <c r="W209" s="15">
        <v>2.0</v>
      </c>
      <c r="X209" s="20">
        <f t="shared" si="6"/>
        <v>1</v>
      </c>
      <c r="Y209" s="15">
        <f t="shared" ref="Y209:Z209" si="422">AE209-W209</f>
        <v>0</v>
      </c>
      <c r="Z209" s="20">
        <f t="shared" si="422"/>
        <v>0</v>
      </c>
      <c r="AA209" s="15">
        <v>2.0</v>
      </c>
      <c r="AB209" s="20">
        <f t="shared" si="8"/>
        <v>1</v>
      </c>
      <c r="AC209" s="15">
        <f t="shared" ref="AC209:AD209" si="423">AE209-AA209</f>
        <v>0</v>
      </c>
      <c r="AD209" s="20">
        <f t="shared" si="423"/>
        <v>0</v>
      </c>
      <c r="AE209" s="15">
        <v>2.0</v>
      </c>
      <c r="AF209" s="20">
        <f t="shared" si="10"/>
        <v>1</v>
      </c>
      <c r="AG209" s="15" t="e">
        <v>#N/A</v>
      </c>
      <c r="AH209" s="20" t="str">
        <f t="shared" si="11"/>
        <v>#N/A</v>
      </c>
      <c r="AI209" s="15">
        <v>2.0</v>
      </c>
      <c r="AJ209" s="15">
        <v>0.0</v>
      </c>
      <c r="AK209" s="21">
        <v>0.0</v>
      </c>
      <c r="AL209" s="22">
        <v>1.0</v>
      </c>
      <c r="AM209" s="15">
        <v>0.0</v>
      </c>
      <c r="AN209" s="15">
        <v>0.0</v>
      </c>
      <c r="AO209" s="23" t="s">
        <v>697</v>
      </c>
      <c r="AP209" s="23" t="s">
        <v>697</v>
      </c>
      <c r="AQ209" s="13" t="s">
        <v>108</v>
      </c>
      <c r="AR209" s="24" t="s">
        <v>66</v>
      </c>
      <c r="AS209" s="24"/>
      <c r="AT209" s="25" t="s">
        <v>733</v>
      </c>
      <c r="AU209" s="26" t="s">
        <v>68</v>
      </c>
      <c r="AV209" s="27"/>
      <c r="AW209" s="24" t="s">
        <v>69</v>
      </c>
      <c r="AX209" s="28"/>
      <c r="AY209" s="29" t="s">
        <v>70</v>
      </c>
      <c r="AZ209" s="32"/>
      <c r="BA209" s="25" t="s">
        <v>734</v>
      </c>
      <c r="BB209" s="26" t="s">
        <v>72</v>
      </c>
      <c r="BC209" s="27"/>
      <c r="BD209" s="24" t="s">
        <v>112</v>
      </c>
      <c r="BE209" s="27"/>
      <c r="BF209" s="27"/>
      <c r="BG209" s="27"/>
      <c r="BH209" s="27"/>
    </row>
    <row r="210" ht="14.25" customHeight="1">
      <c r="A210" s="73" t="s">
        <v>735</v>
      </c>
      <c r="B210" s="73"/>
      <c r="C210" s="85"/>
      <c r="D210" s="75"/>
      <c r="E210" s="76"/>
      <c r="F210" s="76"/>
      <c r="G210" s="73"/>
      <c r="H210" s="77"/>
      <c r="I210" s="78">
        <v>0.0968</v>
      </c>
      <c r="J210" s="79"/>
      <c r="K210" s="79" t="s">
        <v>62</v>
      </c>
      <c r="L210" s="79" t="s">
        <v>76</v>
      </c>
      <c r="M210" s="79" t="s">
        <v>202</v>
      </c>
      <c r="N210" s="79" t="s">
        <v>62</v>
      </c>
      <c r="O210" s="79" t="s">
        <v>86</v>
      </c>
      <c r="P210" s="79" t="s">
        <v>129</v>
      </c>
      <c r="Q210" s="80" t="s">
        <v>60</v>
      </c>
      <c r="R210" s="76">
        <f t="shared" si="3"/>
        <v>0</v>
      </c>
      <c r="S210" s="76">
        <v>187.0</v>
      </c>
      <c r="T210" s="76">
        <v>18.0</v>
      </c>
      <c r="U210" s="20">
        <f t="shared" si="4"/>
        <v>0.09625668449</v>
      </c>
      <c r="V210" s="15">
        <f t="shared" si="5"/>
        <v>7</v>
      </c>
      <c r="W210" s="76">
        <v>20.0</v>
      </c>
      <c r="X210" s="81">
        <f t="shared" si="6"/>
        <v>0.1069518717</v>
      </c>
      <c r="Y210" s="76">
        <f t="shared" ref="Y210:Z210" si="424">AE210-W210</f>
        <v>3</v>
      </c>
      <c r="Z210" s="81">
        <f t="shared" si="424"/>
        <v>0.01604278075</v>
      </c>
      <c r="AA210" s="76">
        <v>23.0</v>
      </c>
      <c r="AB210" s="81">
        <f t="shared" si="8"/>
        <v>0.1229946524</v>
      </c>
      <c r="AC210" s="76">
        <f t="shared" ref="AC210:AD210" si="425">AE210-AA210</f>
        <v>0</v>
      </c>
      <c r="AD210" s="81">
        <f t="shared" si="425"/>
        <v>0</v>
      </c>
      <c r="AE210" s="76">
        <v>23.0</v>
      </c>
      <c r="AF210" s="81">
        <f t="shared" si="10"/>
        <v>0.1229946524</v>
      </c>
      <c r="AG210" s="76">
        <v>23.0</v>
      </c>
      <c r="AH210" s="81">
        <f t="shared" si="11"/>
        <v>0.1229946524</v>
      </c>
      <c r="AI210" s="76">
        <v>25.0</v>
      </c>
      <c r="AJ210" s="76">
        <v>0.0</v>
      </c>
      <c r="AK210" s="82">
        <v>0.0</v>
      </c>
      <c r="AL210" s="83">
        <v>0.133689839572193</v>
      </c>
      <c r="AM210" s="76">
        <v>161.0</v>
      </c>
      <c r="AN210" s="76">
        <v>62.0</v>
      </c>
      <c r="AO210" s="84" t="s">
        <v>697</v>
      </c>
      <c r="AP210" s="84" t="s">
        <v>697</v>
      </c>
      <c r="AQ210" s="85" t="s">
        <v>104</v>
      </c>
      <c r="AR210" s="86" t="s">
        <v>66</v>
      </c>
      <c r="AS210" s="86"/>
      <c r="AT210" s="87" t="s">
        <v>736</v>
      </c>
      <c r="AU210" s="88" t="s">
        <v>68</v>
      </c>
      <c r="AV210" s="93"/>
      <c r="AW210" s="86" t="s">
        <v>79</v>
      </c>
      <c r="AX210" s="90"/>
      <c r="AY210" s="91" t="s">
        <v>371</v>
      </c>
      <c r="AZ210" s="30"/>
      <c r="BA210" s="92" t="s">
        <v>737</v>
      </c>
      <c r="BB210" s="88" t="s">
        <v>90</v>
      </c>
      <c r="BC210" s="93"/>
      <c r="BD210" s="94" t="s">
        <v>91</v>
      </c>
      <c r="BE210" s="94"/>
      <c r="BF210" s="93"/>
      <c r="BG210" s="93"/>
      <c r="BH210" s="93"/>
    </row>
    <row r="211" ht="14.25" customHeight="1">
      <c r="A211" s="119" t="s">
        <v>738</v>
      </c>
      <c r="B211" s="119"/>
      <c r="C211" s="120"/>
      <c r="D211" s="14"/>
      <c r="E211" s="15"/>
      <c r="F211" s="131"/>
      <c r="G211" s="12"/>
      <c r="H211" s="16"/>
      <c r="I211" s="17">
        <v>0.0</v>
      </c>
      <c r="J211" s="18"/>
      <c r="K211" s="18"/>
      <c r="L211" s="18" t="s">
        <v>84</v>
      </c>
      <c r="M211" s="18" t="s">
        <v>84</v>
      </c>
      <c r="N211" s="18"/>
      <c r="O211" s="18" t="s">
        <v>84</v>
      </c>
      <c r="P211" s="18" t="s">
        <v>84</v>
      </c>
      <c r="Q211" s="18" t="s">
        <v>84</v>
      </c>
      <c r="R211" s="15">
        <f t="shared" si="3"/>
        <v>0</v>
      </c>
      <c r="S211" s="15">
        <v>1.0</v>
      </c>
      <c r="T211" s="15">
        <v>0.0</v>
      </c>
      <c r="U211" s="20">
        <f t="shared" si="4"/>
        <v>0</v>
      </c>
      <c r="V211" s="15">
        <f t="shared" si="5"/>
        <v>1</v>
      </c>
      <c r="W211" s="15">
        <v>0.0</v>
      </c>
      <c r="X211" s="20">
        <f t="shared" si="6"/>
        <v>0</v>
      </c>
      <c r="Y211" s="15">
        <f t="shared" ref="Y211:Z211" si="426">AE211-W211</f>
        <v>1</v>
      </c>
      <c r="Z211" s="20">
        <f t="shared" si="426"/>
        <v>1</v>
      </c>
      <c r="AA211" s="15">
        <v>0.0</v>
      </c>
      <c r="AB211" s="20">
        <f t="shared" si="8"/>
        <v>0</v>
      </c>
      <c r="AC211" s="15">
        <f t="shared" ref="AC211:AD211" si="427">AE211-AA211</f>
        <v>1</v>
      </c>
      <c r="AD211" s="20">
        <f t="shared" si="427"/>
        <v>1</v>
      </c>
      <c r="AE211" s="15">
        <v>1.0</v>
      </c>
      <c r="AF211" s="20">
        <f t="shared" si="10"/>
        <v>1</v>
      </c>
      <c r="AG211" s="15" t="e">
        <v>#N/A</v>
      </c>
      <c r="AH211" s="20" t="str">
        <f t="shared" si="11"/>
        <v>#N/A</v>
      </c>
      <c r="AI211" s="15">
        <v>1.0</v>
      </c>
      <c r="AJ211" s="15">
        <v>0.0</v>
      </c>
      <c r="AK211" s="21">
        <v>0.0</v>
      </c>
      <c r="AL211" s="22">
        <v>1.0</v>
      </c>
      <c r="AM211" s="15">
        <v>0.0</v>
      </c>
      <c r="AN211" s="15">
        <v>0.0</v>
      </c>
      <c r="AO211" s="23" t="s">
        <v>697</v>
      </c>
      <c r="AP211" s="23" t="s">
        <v>697</v>
      </c>
      <c r="AQ211" s="13" t="s">
        <v>93</v>
      </c>
      <c r="AR211" s="24" t="s">
        <v>66</v>
      </c>
      <c r="AS211" s="24"/>
      <c r="AT211" s="25" t="s">
        <v>739</v>
      </c>
      <c r="AU211" s="26" t="s">
        <v>68</v>
      </c>
      <c r="AV211" s="36"/>
      <c r="AW211" s="24" t="s">
        <v>69</v>
      </c>
      <c r="AX211" s="28"/>
      <c r="AY211" s="29" t="s">
        <v>89</v>
      </c>
      <c r="AZ211" s="29"/>
      <c r="BA211" s="28"/>
      <c r="BB211" s="26" t="s">
        <v>90</v>
      </c>
      <c r="BC211" s="27"/>
      <c r="BD211" s="34" t="s">
        <v>91</v>
      </c>
      <c r="BE211" s="34"/>
      <c r="BF211" s="27"/>
      <c r="BG211" s="27"/>
      <c r="BH211" s="27"/>
    </row>
    <row r="212" ht="14.25" customHeight="1">
      <c r="A212" s="119" t="s">
        <v>740</v>
      </c>
      <c r="B212" s="119"/>
      <c r="C212" s="120"/>
      <c r="D212" s="14"/>
      <c r="E212" s="15"/>
      <c r="F212" s="15"/>
      <c r="G212" s="12"/>
      <c r="H212" s="16"/>
      <c r="I212" s="17">
        <v>0.6</v>
      </c>
      <c r="J212" s="18" t="s">
        <v>114</v>
      </c>
      <c r="K212" s="18" t="s">
        <v>151</v>
      </c>
      <c r="L212" s="18" t="s">
        <v>60</v>
      </c>
      <c r="M212" s="18" t="s">
        <v>62</v>
      </c>
      <c r="N212" s="18"/>
      <c r="O212" s="18" t="s">
        <v>62</v>
      </c>
      <c r="P212" s="18" t="s">
        <v>62</v>
      </c>
      <c r="Q212" s="18" t="s">
        <v>62</v>
      </c>
      <c r="R212" s="15">
        <f t="shared" si="3"/>
        <v>0</v>
      </c>
      <c r="S212" s="15">
        <v>10.0</v>
      </c>
      <c r="T212" s="15">
        <v>7.0</v>
      </c>
      <c r="U212" s="20">
        <f t="shared" si="4"/>
        <v>0.7</v>
      </c>
      <c r="V212" s="15">
        <f t="shared" si="5"/>
        <v>-4</v>
      </c>
      <c r="W212" s="15">
        <v>7.0</v>
      </c>
      <c r="X212" s="20">
        <f t="shared" si="6"/>
        <v>0.7</v>
      </c>
      <c r="Y212" s="15">
        <f t="shared" ref="Y212:Z212" si="428">AE212-W212</f>
        <v>3</v>
      </c>
      <c r="Z212" s="20">
        <f t="shared" si="428"/>
        <v>0.3</v>
      </c>
      <c r="AA212" s="15">
        <v>7.0</v>
      </c>
      <c r="AB212" s="20">
        <f t="shared" si="8"/>
        <v>0.7</v>
      </c>
      <c r="AC212" s="15">
        <f t="shared" ref="AC212:AD212" si="429">AE212-AA212</f>
        <v>3</v>
      </c>
      <c r="AD212" s="20">
        <f t="shared" si="429"/>
        <v>0.3</v>
      </c>
      <c r="AE212" s="15">
        <v>10.0</v>
      </c>
      <c r="AF212" s="20">
        <f t="shared" si="10"/>
        <v>1</v>
      </c>
      <c r="AG212" s="15">
        <v>10.0</v>
      </c>
      <c r="AH212" s="20">
        <f t="shared" si="11"/>
        <v>1</v>
      </c>
      <c r="AI212" s="15">
        <v>3.0</v>
      </c>
      <c r="AJ212" s="15">
        <v>7.0</v>
      </c>
      <c r="AK212" s="21">
        <v>0.0</v>
      </c>
      <c r="AL212" s="22">
        <v>1.0</v>
      </c>
      <c r="AM212" s="15">
        <v>7.0</v>
      </c>
      <c r="AN212" s="15">
        <v>0.0</v>
      </c>
      <c r="AO212" s="23" t="s">
        <v>697</v>
      </c>
      <c r="AP212" s="23" t="s">
        <v>697</v>
      </c>
      <c r="AQ212" s="13" t="s">
        <v>93</v>
      </c>
      <c r="AR212" s="24" t="s">
        <v>66</v>
      </c>
      <c r="AS212" s="24"/>
      <c r="AT212" s="25" t="s">
        <v>741</v>
      </c>
      <c r="AU212" s="26" t="s">
        <v>68</v>
      </c>
      <c r="AV212" s="27"/>
      <c r="AW212" s="24" t="s">
        <v>69</v>
      </c>
      <c r="AX212" s="27"/>
      <c r="AY212" s="29" t="s">
        <v>110</v>
      </c>
      <c r="AZ212" s="30"/>
      <c r="BA212" s="25" t="s">
        <v>742</v>
      </c>
      <c r="BB212" s="26" t="s">
        <v>72</v>
      </c>
      <c r="BC212" s="27"/>
      <c r="BD212" s="24" t="s">
        <v>96</v>
      </c>
      <c r="BE212" s="28"/>
      <c r="BF212" s="27"/>
      <c r="BG212" s="27"/>
      <c r="BH212" s="27"/>
    </row>
    <row r="213" ht="14.25" customHeight="1">
      <c r="A213" s="119" t="s">
        <v>743</v>
      </c>
      <c r="B213" s="119"/>
      <c r="C213" s="120"/>
      <c r="D213" s="14"/>
      <c r="E213" s="15"/>
      <c r="F213" s="15"/>
      <c r="G213" s="12"/>
      <c r="H213" s="16"/>
      <c r="I213" s="17">
        <v>0.0</v>
      </c>
      <c r="J213" s="18"/>
      <c r="K213" s="18" t="s">
        <v>62</v>
      </c>
      <c r="L213" s="18" t="s">
        <v>62</v>
      </c>
      <c r="M213" s="18" t="s">
        <v>62</v>
      </c>
      <c r="N213" s="18"/>
      <c r="O213" s="18" t="s">
        <v>84</v>
      </c>
      <c r="P213" s="18" t="s">
        <v>84</v>
      </c>
      <c r="Q213" s="18" t="s">
        <v>84</v>
      </c>
      <c r="R213" s="15">
        <f t="shared" si="3"/>
        <v>0</v>
      </c>
      <c r="S213" s="15">
        <v>13.0</v>
      </c>
      <c r="T213" s="15">
        <v>0.0</v>
      </c>
      <c r="U213" s="20">
        <f t="shared" si="4"/>
        <v>0</v>
      </c>
      <c r="V213" s="15">
        <f t="shared" si="5"/>
        <v>4</v>
      </c>
      <c r="W213" s="15">
        <v>0.0</v>
      </c>
      <c r="X213" s="20">
        <f t="shared" si="6"/>
        <v>0</v>
      </c>
      <c r="Y213" s="15">
        <f t="shared" ref="Y213:Z213" si="430">AE213-W213</f>
        <v>4</v>
      </c>
      <c r="Z213" s="20">
        <f t="shared" si="430"/>
        <v>0.3076923077</v>
      </c>
      <c r="AA213" s="15">
        <v>0.0</v>
      </c>
      <c r="AB213" s="20">
        <f t="shared" si="8"/>
        <v>0</v>
      </c>
      <c r="AC213" s="15">
        <f t="shared" ref="AC213:AD213" si="431">AE213-AA213</f>
        <v>4</v>
      </c>
      <c r="AD213" s="20">
        <f t="shared" si="431"/>
        <v>0.3076923077</v>
      </c>
      <c r="AE213" s="15">
        <v>4.0</v>
      </c>
      <c r="AF213" s="20">
        <f t="shared" si="10"/>
        <v>0.3076923077</v>
      </c>
      <c r="AG213" s="15">
        <v>4.0</v>
      </c>
      <c r="AH213" s="20">
        <f t="shared" si="11"/>
        <v>0.3076923077</v>
      </c>
      <c r="AI213" s="15">
        <v>4.0</v>
      </c>
      <c r="AJ213" s="15">
        <v>0.0</v>
      </c>
      <c r="AK213" s="21">
        <v>0.0</v>
      </c>
      <c r="AL213" s="22">
        <v>0.307692307692308</v>
      </c>
      <c r="AM213" s="15">
        <v>0.0</v>
      </c>
      <c r="AN213" s="15">
        <v>9.0</v>
      </c>
      <c r="AO213" s="23" t="s">
        <v>697</v>
      </c>
      <c r="AP213" s="23" t="s">
        <v>697</v>
      </c>
      <c r="AQ213" s="13" t="e">
        <v>#N/A</v>
      </c>
      <c r="AR213" s="24" t="s">
        <v>130</v>
      </c>
      <c r="AS213" s="24"/>
      <c r="AT213" s="112" t="s">
        <v>744</v>
      </c>
      <c r="AU213" s="26" t="s">
        <v>106</v>
      </c>
      <c r="AV213" s="27"/>
      <c r="AW213" s="27"/>
      <c r="AX213" s="28"/>
      <c r="AY213" s="29" t="s">
        <v>89</v>
      </c>
      <c r="AZ213" s="29"/>
      <c r="BA213" s="28"/>
      <c r="BB213" s="26" t="s">
        <v>90</v>
      </c>
      <c r="BC213" s="27"/>
      <c r="BD213" s="34" t="s">
        <v>91</v>
      </c>
      <c r="BE213" s="34"/>
      <c r="BF213" s="27"/>
      <c r="BG213" s="27"/>
      <c r="BH213" s="27"/>
    </row>
    <row r="214" ht="14.25" customHeight="1">
      <c r="A214" s="119" t="s">
        <v>745</v>
      </c>
      <c r="B214" s="119"/>
      <c r="C214" s="120"/>
      <c r="D214" s="14"/>
      <c r="E214" s="15"/>
      <c r="F214" s="15"/>
      <c r="G214" s="12"/>
      <c r="H214" s="16"/>
      <c r="I214" s="17">
        <v>0.0</v>
      </c>
      <c r="J214" s="18"/>
      <c r="K214" s="18" t="s">
        <v>84</v>
      </c>
      <c r="L214" s="18" t="s">
        <v>62</v>
      </c>
      <c r="M214" s="18" t="s">
        <v>62</v>
      </c>
      <c r="N214" s="18"/>
      <c r="O214" s="18" t="s">
        <v>84</v>
      </c>
      <c r="P214" s="18" t="s">
        <v>84</v>
      </c>
      <c r="Q214" s="19" t="s">
        <v>60</v>
      </c>
      <c r="R214" s="15">
        <f t="shared" si="3"/>
        <v>0</v>
      </c>
      <c r="S214" s="15">
        <v>16.0</v>
      </c>
      <c r="T214" s="15">
        <v>0.0</v>
      </c>
      <c r="U214" s="20">
        <f t="shared" si="4"/>
        <v>0</v>
      </c>
      <c r="V214" s="15">
        <f t="shared" si="5"/>
        <v>2</v>
      </c>
      <c r="W214" s="15">
        <v>0.0</v>
      </c>
      <c r="X214" s="20">
        <f t="shared" si="6"/>
        <v>0</v>
      </c>
      <c r="Y214" s="15">
        <f t="shared" ref="Y214:Z214" si="432">AE214-W214</f>
        <v>2</v>
      </c>
      <c r="Z214" s="20">
        <f t="shared" si="432"/>
        <v>0.125</v>
      </c>
      <c r="AA214" s="15">
        <v>2.0</v>
      </c>
      <c r="AB214" s="20">
        <f t="shared" si="8"/>
        <v>0.125</v>
      </c>
      <c r="AC214" s="15">
        <f t="shared" ref="AC214:AD214" si="433">AE214-AA214</f>
        <v>0</v>
      </c>
      <c r="AD214" s="20">
        <f t="shared" si="433"/>
        <v>0</v>
      </c>
      <c r="AE214" s="15">
        <v>2.0</v>
      </c>
      <c r="AF214" s="20">
        <f t="shared" si="10"/>
        <v>0.125</v>
      </c>
      <c r="AG214" s="15">
        <v>2.0</v>
      </c>
      <c r="AH214" s="20">
        <f t="shared" si="11"/>
        <v>0.125</v>
      </c>
      <c r="AI214" s="15">
        <v>2.0</v>
      </c>
      <c r="AJ214" s="15">
        <v>0.0</v>
      </c>
      <c r="AK214" s="21">
        <v>0.0</v>
      </c>
      <c r="AL214" s="22">
        <v>0.125</v>
      </c>
      <c r="AM214" s="15">
        <v>0.0</v>
      </c>
      <c r="AN214" s="15">
        <v>14.0</v>
      </c>
      <c r="AO214" s="23" t="s">
        <v>697</v>
      </c>
      <c r="AP214" s="23" t="s">
        <v>697</v>
      </c>
      <c r="AQ214" s="13" t="s">
        <v>65</v>
      </c>
      <c r="AR214" s="24" t="s">
        <v>130</v>
      </c>
      <c r="AS214" s="24"/>
      <c r="AT214" s="25" t="s">
        <v>746</v>
      </c>
      <c r="AU214" s="26" t="s">
        <v>68</v>
      </c>
      <c r="AV214" s="27"/>
      <c r="AW214" s="24" t="s">
        <v>100</v>
      </c>
      <c r="AX214" s="28"/>
      <c r="AY214" s="29" t="s">
        <v>89</v>
      </c>
      <c r="AZ214" s="29"/>
      <c r="BA214" s="28"/>
      <c r="BB214" s="26" t="s">
        <v>90</v>
      </c>
      <c r="BC214" s="27"/>
      <c r="BD214" s="34" t="s">
        <v>91</v>
      </c>
      <c r="BE214" s="34"/>
      <c r="BF214" s="27"/>
      <c r="BG214" s="27"/>
      <c r="BH214" s="27"/>
    </row>
    <row r="215" ht="28.5" customHeight="1">
      <c r="A215" s="12" t="s">
        <v>747</v>
      </c>
      <c r="B215" s="12"/>
      <c r="C215" s="13"/>
      <c r="D215" s="14"/>
      <c r="E215" s="15"/>
      <c r="F215" s="15"/>
      <c r="G215" s="12"/>
      <c r="H215" s="16"/>
      <c r="I215" s="17">
        <v>1.0</v>
      </c>
      <c r="J215" s="18"/>
      <c r="K215" s="18" t="s">
        <v>569</v>
      </c>
      <c r="L215" s="18" t="s">
        <v>61</v>
      </c>
      <c r="M215" s="18" t="s">
        <v>60</v>
      </c>
      <c r="N215" s="18"/>
      <c r="O215" s="18" t="s">
        <v>60</v>
      </c>
      <c r="P215" s="18" t="s">
        <v>60</v>
      </c>
      <c r="Q215" s="19" t="s">
        <v>60</v>
      </c>
      <c r="R215" s="15">
        <f t="shared" si="3"/>
        <v>0</v>
      </c>
      <c r="S215" s="15">
        <v>13.0</v>
      </c>
      <c r="T215" s="15">
        <v>13.0</v>
      </c>
      <c r="U215" s="20">
        <f t="shared" si="4"/>
        <v>1</v>
      </c>
      <c r="V215" s="15">
        <f t="shared" si="5"/>
        <v>0</v>
      </c>
      <c r="W215" s="15">
        <v>13.0</v>
      </c>
      <c r="X215" s="20">
        <f t="shared" si="6"/>
        <v>1</v>
      </c>
      <c r="Y215" s="15">
        <f t="shared" ref="Y215:Z215" si="434">AE215-W215</f>
        <v>0</v>
      </c>
      <c r="Z215" s="20">
        <f t="shared" si="434"/>
        <v>0</v>
      </c>
      <c r="AA215" s="15">
        <v>13.0</v>
      </c>
      <c r="AB215" s="20">
        <f t="shared" si="8"/>
        <v>1</v>
      </c>
      <c r="AC215" s="15">
        <f t="shared" ref="AC215:AD215" si="435">AE215-AA215</f>
        <v>0</v>
      </c>
      <c r="AD215" s="20">
        <f t="shared" si="435"/>
        <v>0</v>
      </c>
      <c r="AE215" s="15">
        <v>13.0</v>
      </c>
      <c r="AF215" s="20">
        <f t="shared" si="10"/>
        <v>1</v>
      </c>
      <c r="AG215" s="15">
        <v>13.0</v>
      </c>
      <c r="AH215" s="20">
        <f t="shared" si="11"/>
        <v>1</v>
      </c>
      <c r="AI215" s="15">
        <v>13.0</v>
      </c>
      <c r="AJ215" s="15">
        <v>0.0</v>
      </c>
      <c r="AK215" s="21">
        <v>0.0</v>
      </c>
      <c r="AL215" s="22">
        <v>1.0</v>
      </c>
      <c r="AM215" s="15">
        <v>0.0</v>
      </c>
      <c r="AN215" s="15">
        <v>0.0</v>
      </c>
      <c r="AO215" s="23" t="s">
        <v>697</v>
      </c>
      <c r="AP215" s="23" t="s">
        <v>697</v>
      </c>
      <c r="AQ215" s="13" t="s">
        <v>77</v>
      </c>
      <c r="AR215" s="24" t="s">
        <v>66</v>
      </c>
      <c r="AS215" s="24"/>
      <c r="AT215" s="25" t="s">
        <v>748</v>
      </c>
      <c r="AU215" s="26" t="s">
        <v>68</v>
      </c>
      <c r="AV215" s="27"/>
      <c r="AW215" s="24" t="s">
        <v>69</v>
      </c>
      <c r="AX215" s="28"/>
      <c r="AY215" s="29" t="s">
        <v>70</v>
      </c>
      <c r="AZ215" s="32"/>
      <c r="BA215" s="25" t="s">
        <v>749</v>
      </c>
      <c r="BB215" s="26" t="s">
        <v>72</v>
      </c>
      <c r="BC215" s="27"/>
      <c r="BD215" s="24" t="s">
        <v>112</v>
      </c>
      <c r="BE215" s="27"/>
      <c r="BF215" s="27"/>
      <c r="BG215" s="27"/>
      <c r="BH215" s="27"/>
    </row>
    <row r="216" ht="14.25" customHeight="1">
      <c r="A216" s="12" t="s">
        <v>750</v>
      </c>
      <c r="B216" s="12"/>
      <c r="C216" s="13"/>
      <c r="D216" s="14"/>
      <c r="E216" s="15"/>
      <c r="F216" s="15"/>
      <c r="G216" s="12"/>
      <c r="H216" s="16"/>
      <c r="I216" s="17">
        <v>0.0</v>
      </c>
      <c r="J216" s="18"/>
      <c r="K216" s="18"/>
      <c r="L216" s="18" t="s">
        <v>84</v>
      </c>
      <c r="M216" s="18" t="s">
        <v>84</v>
      </c>
      <c r="N216" s="18"/>
      <c r="O216" s="18" t="s">
        <v>62</v>
      </c>
      <c r="P216" s="18" t="s">
        <v>86</v>
      </c>
      <c r="Q216" s="18" t="s">
        <v>129</v>
      </c>
      <c r="R216" s="15">
        <f t="shared" si="3"/>
        <v>0</v>
      </c>
      <c r="S216" s="15">
        <v>11.0</v>
      </c>
      <c r="T216" s="15">
        <v>0.0</v>
      </c>
      <c r="U216" s="20">
        <f t="shared" si="4"/>
        <v>0</v>
      </c>
      <c r="V216" s="15">
        <f t="shared" si="5"/>
        <v>11</v>
      </c>
      <c r="W216" s="15">
        <v>1.0</v>
      </c>
      <c r="X216" s="20">
        <f t="shared" si="6"/>
        <v>0.09090909091</v>
      </c>
      <c r="Y216" s="15">
        <f t="shared" ref="Y216:Z216" si="436">AE216-W216</f>
        <v>10</v>
      </c>
      <c r="Z216" s="20">
        <f t="shared" si="436"/>
        <v>0.9090909091</v>
      </c>
      <c r="AA216" s="15">
        <v>0.0</v>
      </c>
      <c r="AB216" s="20">
        <f t="shared" si="8"/>
        <v>0</v>
      </c>
      <c r="AC216" s="15">
        <f t="shared" ref="AC216:AD216" si="437">AE216-AA216</f>
        <v>11</v>
      </c>
      <c r="AD216" s="20">
        <f t="shared" si="437"/>
        <v>1</v>
      </c>
      <c r="AE216" s="15">
        <v>11.0</v>
      </c>
      <c r="AF216" s="20">
        <f t="shared" si="10"/>
        <v>1</v>
      </c>
      <c r="AG216" s="15" t="e">
        <v>#N/A</v>
      </c>
      <c r="AH216" s="20" t="str">
        <f t="shared" si="11"/>
        <v>#N/A</v>
      </c>
      <c r="AI216" s="15">
        <v>11.0</v>
      </c>
      <c r="AJ216" s="15">
        <v>0.0</v>
      </c>
      <c r="AK216" s="21">
        <v>0.0</v>
      </c>
      <c r="AL216" s="22">
        <v>1.0</v>
      </c>
      <c r="AM216" s="15">
        <v>0.0</v>
      </c>
      <c r="AN216" s="15">
        <v>0.0</v>
      </c>
      <c r="AO216" s="23" t="s">
        <v>697</v>
      </c>
      <c r="AP216" s="23" t="s">
        <v>697</v>
      </c>
      <c r="AQ216" s="13" t="s">
        <v>93</v>
      </c>
      <c r="AR216" s="24" t="s">
        <v>66</v>
      </c>
      <c r="AS216" s="24"/>
      <c r="AT216" s="25" t="s">
        <v>751</v>
      </c>
      <c r="AU216" s="26" t="s">
        <v>88</v>
      </c>
      <c r="AV216" s="27"/>
      <c r="AW216" s="24" t="s">
        <v>79</v>
      </c>
      <c r="AX216" s="28"/>
      <c r="AY216" s="29" t="s">
        <v>89</v>
      </c>
      <c r="AZ216" s="29"/>
      <c r="BA216" s="28"/>
      <c r="BB216" s="26" t="s">
        <v>90</v>
      </c>
      <c r="BC216" s="27"/>
      <c r="BD216" s="34" t="s">
        <v>91</v>
      </c>
      <c r="BE216" s="34"/>
      <c r="BF216" s="27"/>
      <c r="BG216" s="27"/>
      <c r="BH216" s="27"/>
    </row>
    <row r="217" ht="14.25" customHeight="1">
      <c r="A217" s="119" t="s">
        <v>752</v>
      </c>
      <c r="B217" s="119"/>
      <c r="C217" s="120"/>
      <c r="D217" s="14"/>
      <c r="E217" s="15"/>
      <c r="F217" s="19"/>
      <c r="G217" s="39"/>
      <c r="H217" s="18"/>
      <c r="I217" s="17">
        <v>0.3636</v>
      </c>
      <c r="J217" s="18"/>
      <c r="K217" s="18" t="s">
        <v>62</v>
      </c>
      <c r="L217" s="18" t="s">
        <v>61</v>
      </c>
      <c r="M217" s="18" t="s">
        <v>60</v>
      </c>
      <c r="N217" s="18"/>
      <c r="O217" s="18" t="s">
        <v>60</v>
      </c>
      <c r="P217" s="18" t="s">
        <v>60</v>
      </c>
      <c r="Q217" s="19" t="s">
        <v>60</v>
      </c>
      <c r="R217" s="15">
        <f t="shared" si="3"/>
        <v>0</v>
      </c>
      <c r="S217" s="15">
        <v>9.0</v>
      </c>
      <c r="T217" s="15">
        <v>2.0</v>
      </c>
      <c r="U217" s="20">
        <f t="shared" si="4"/>
        <v>0.2222222222</v>
      </c>
      <c r="V217" s="15">
        <f t="shared" si="5"/>
        <v>-1</v>
      </c>
      <c r="W217" s="15">
        <v>2.0</v>
      </c>
      <c r="X217" s="20">
        <f t="shared" si="6"/>
        <v>0.2222222222</v>
      </c>
      <c r="Y217" s="15">
        <f t="shared" ref="Y217:Z217" si="438">AE217-W217</f>
        <v>0</v>
      </c>
      <c r="Z217" s="20">
        <f t="shared" si="438"/>
        <v>0</v>
      </c>
      <c r="AA217" s="15">
        <v>2.0</v>
      </c>
      <c r="AB217" s="20">
        <f t="shared" si="8"/>
        <v>0.2222222222</v>
      </c>
      <c r="AC217" s="15">
        <f t="shared" ref="AC217:AD217" si="439">AE217-AA217</f>
        <v>0</v>
      </c>
      <c r="AD217" s="20">
        <f t="shared" si="439"/>
        <v>0</v>
      </c>
      <c r="AE217" s="15">
        <v>2.0</v>
      </c>
      <c r="AF217" s="20">
        <f t="shared" si="10"/>
        <v>0.2222222222</v>
      </c>
      <c r="AG217" s="15" t="e">
        <v>#N/A</v>
      </c>
      <c r="AH217" s="20" t="str">
        <f t="shared" si="11"/>
        <v>#N/A</v>
      </c>
      <c r="AI217" s="15">
        <v>1.0</v>
      </c>
      <c r="AJ217" s="15">
        <v>1.0</v>
      </c>
      <c r="AK217" s="21">
        <v>0.0</v>
      </c>
      <c r="AL217" s="22">
        <v>0.222222222222222</v>
      </c>
      <c r="AM217" s="15">
        <v>8.0</v>
      </c>
      <c r="AN217" s="15">
        <v>7.0</v>
      </c>
      <c r="AO217" s="23" t="s">
        <v>697</v>
      </c>
      <c r="AP217" s="23" t="s">
        <v>697</v>
      </c>
      <c r="AQ217" s="13" t="s">
        <v>77</v>
      </c>
      <c r="AR217" s="24" t="s">
        <v>66</v>
      </c>
      <c r="AS217" s="24"/>
      <c r="AT217" s="25" t="s">
        <v>753</v>
      </c>
      <c r="AU217" s="26" t="s">
        <v>407</v>
      </c>
      <c r="AV217" s="27"/>
      <c r="AW217" s="24" t="s">
        <v>133</v>
      </c>
      <c r="AX217" s="42">
        <v>46021.0</v>
      </c>
      <c r="AY217" s="29" t="s">
        <v>70</v>
      </c>
      <c r="AZ217" s="32"/>
      <c r="BA217" s="25" t="s">
        <v>754</v>
      </c>
      <c r="BB217" s="26" t="s">
        <v>118</v>
      </c>
      <c r="BC217" s="27"/>
      <c r="BD217" s="24" t="s">
        <v>112</v>
      </c>
      <c r="BE217" s="27"/>
      <c r="BF217" s="27"/>
      <c r="BG217" s="27"/>
      <c r="BH217" s="27"/>
    </row>
    <row r="218" ht="14.25" customHeight="1">
      <c r="A218" s="119" t="s">
        <v>755</v>
      </c>
      <c r="B218" s="119"/>
      <c r="C218" s="120"/>
      <c r="D218" s="14"/>
      <c r="E218" s="15"/>
      <c r="F218" s="124"/>
      <c r="G218" s="12"/>
      <c r="H218" s="16"/>
      <c r="I218" s="17">
        <v>1.0</v>
      </c>
      <c r="J218" s="18" t="s">
        <v>756</v>
      </c>
      <c r="K218" s="18" t="s">
        <v>270</v>
      </c>
      <c r="L218" s="18" t="s">
        <v>60</v>
      </c>
      <c r="M218" s="18" t="s">
        <v>60</v>
      </c>
      <c r="N218" s="18"/>
      <c r="O218" s="18" t="s">
        <v>60</v>
      </c>
      <c r="P218" s="18" t="s">
        <v>60</v>
      </c>
      <c r="Q218" s="19" t="s">
        <v>60</v>
      </c>
      <c r="R218" s="15">
        <f t="shared" si="3"/>
        <v>0</v>
      </c>
      <c r="S218" s="15">
        <v>2.0</v>
      </c>
      <c r="T218" s="15">
        <v>2.0</v>
      </c>
      <c r="U218" s="20">
        <f t="shared" si="4"/>
        <v>1</v>
      </c>
      <c r="V218" s="15">
        <f t="shared" si="5"/>
        <v>0</v>
      </c>
      <c r="W218" s="15">
        <v>2.0</v>
      </c>
      <c r="X218" s="20">
        <f t="shared" si="6"/>
        <v>1</v>
      </c>
      <c r="Y218" s="15">
        <f t="shared" ref="Y218:Z218" si="440">AE218-W218</f>
        <v>0</v>
      </c>
      <c r="Z218" s="20">
        <f t="shared" si="440"/>
        <v>0</v>
      </c>
      <c r="AA218" s="15">
        <v>2.0</v>
      </c>
      <c r="AB218" s="20">
        <f t="shared" si="8"/>
        <v>1</v>
      </c>
      <c r="AC218" s="15">
        <f t="shared" ref="AC218:AD218" si="441">AE218-AA218</f>
        <v>0</v>
      </c>
      <c r="AD218" s="20">
        <f t="shared" si="441"/>
        <v>0</v>
      </c>
      <c r="AE218" s="15">
        <v>2.0</v>
      </c>
      <c r="AF218" s="20">
        <f t="shared" si="10"/>
        <v>1</v>
      </c>
      <c r="AG218" s="15" t="e">
        <v>#N/A</v>
      </c>
      <c r="AH218" s="20" t="str">
        <f t="shared" si="11"/>
        <v>#N/A</v>
      </c>
      <c r="AI218" s="15">
        <v>2.0</v>
      </c>
      <c r="AJ218" s="15">
        <v>0.0</v>
      </c>
      <c r="AK218" s="21">
        <v>0.0</v>
      </c>
      <c r="AL218" s="22">
        <v>1.0</v>
      </c>
      <c r="AM218" s="15">
        <v>0.0</v>
      </c>
      <c r="AN218" s="15">
        <v>0.0</v>
      </c>
      <c r="AO218" s="23" t="s">
        <v>697</v>
      </c>
      <c r="AP218" s="23" t="s">
        <v>697</v>
      </c>
      <c r="AQ218" s="13" t="s">
        <v>93</v>
      </c>
      <c r="AR218" s="24" t="s">
        <v>66</v>
      </c>
      <c r="AS218" s="24"/>
      <c r="AT218" s="25" t="s">
        <v>757</v>
      </c>
      <c r="AU218" s="26" t="s">
        <v>68</v>
      </c>
      <c r="AV218" s="27"/>
      <c r="AW218" s="24" t="s">
        <v>69</v>
      </c>
      <c r="AX218" s="28"/>
      <c r="AY218" s="29" t="s">
        <v>70</v>
      </c>
      <c r="AZ218" s="30"/>
      <c r="BA218" s="25" t="s">
        <v>758</v>
      </c>
      <c r="BB218" s="26" t="s">
        <v>72</v>
      </c>
      <c r="BC218" s="27"/>
      <c r="BD218" s="24" t="s">
        <v>112</v>
      </c>
      <c r="BE218" s="27"/>
      <c r="BF218" s="27"/>
      <c r="BG218" s="27"/>
      <c r="BH218" s="27"/>
    </row>
    <row r="219" ht="14.25" customHeight="1">
      <c r="A219" s="119" t="s">
        <v>759</v>
      </c>
      <c r="B219" s="119"/>
      <c r="C219" s="120"/>
      <c r="D219" s="14"/>
      <c r="E219" s="15"/>
      <c r="F219" s="15"/>
      <c r="G219" s="12"/>
      <c r="H219" s="16"/>
      <c r="I219" s="17">
        <v>1.0</v>
      </c>
      <c r="J219" s="18" t="s">
        <v>760</v>
      </c>
      <c r="K219" s="18" t="s">
        <v>84</v>
      </c>
      <c r="L219" s="18" t="s">
        <v>61</v>
      </c>
      <c r="M219" s="18" t="s">
        <v>60</v>
      </c>
      <c r="N219" s="18"/>
      <c r="O219" s="18" t="s">
        <v>60</v>
      </c>
      <c r="P219" s="18" t="s">
        <v>60</v>
      </c>
      <c r="Q219" s="19" t="s">
        <v>60</v>
      </c>
      <c r="R219" s="15">
        <f t="shared" si="3"/>
        <v>0</v>
      </c>
      <c r="S219" s="15">
        <v>1.0</v>
      </c>
      <c r="T219" s="15">
        <v>1.0</v>
      </c>
      <c r="U219" s="20">
        <f t="shared" si="4"/>
        <v>1</v>
      </c>
      <c r="V219" s="15">
        <f t="shared" si="5"/>
        <v>0</v>
      </c>
      <c r="W219" s="15">
        <v>1.0</v>
      </c>
      <c r="X219" s="20">
        <f t="shared" si="6"/>
        <v>1</v>
      </c>
      <c r="Y219" s="15">
        <f t="shared" ref="Y219:Z219" si="442">AE219-W219</f>
        <v>0</v>
      </c>
      <c r="Z219" s="20">
        <f t="shared" si="442"/>
        <v>0</v>
      </c>
      <c r="AA219" s="15">
        <v>1.0</v>
      </c>
      <c r="AB219" s="20">
        <f t="shared" si="8"/>
        <v>1</v>
      </c>
      <c r="AC219" s="15">
        <f t="shared" ref="AC219:AD219" si="443">AE219-AA219</f>
        <v>0</v>
      </c>
      <c r="AD219" s="20">
        <f t="shared" si="443"/>
        <v>0</v>
      </c>
      <c r="AE219" s="15">
        <v>1.0</v>
      </c>
      <c r="AF219" s="20">
        <f t="shared" si="10"/>
        <v>1</v>
      </c>
      <c r="AG219" s="15" t="e">
        <v>#N/A</v>
      </c>
      <c r="AH219" s="20" t="str">
        <f t="shared" si="11"/>
        <v>#N/A</v>
      </c>
      <c r="AI219" s="15">
        <v>1.0</v>
      </c>
      <c r="AJ219" s="15">
        <v>0.0</v>
      </c>
      <c r="AK219" s="21">
        <v>0.0</v>
      </c>
      <c r="AL219" s="22">
        <v>1.0</v>
      </c>
      <c r="AM219" s="15">
        <v>0.0</v>
      </c>
      <c r="AN219" s="15">
        <v>0.0</v>
      </c>
      <c r="AO219" s="23" t="s">
        <v>697</v>
      </c>
      <c r="AP219" s="23" t="s">
        <v>697</v>
      </c>
      <c r="AQ219" s="13" t="s">
        <v>65</v>
      </c>
      <c r="AR219" s="24" t="s">
        <v>66</v>
      </c>
      <c r="AS219" s="24"/>
      <c r="AT219" s="25" t="s">
        <v>761</v>
      </c>
      <c r="AU219" s="26" t="s">
        <v>68</v>
      </c>
      <c r="AV219" s="27"/>
      <c r="AW219" s="24" t="s">
        <v>69</v>
      </c>
      <c r="AX219" s="28"/>
      <c r="AY219" s="29" t="s">
        <v>70</v>
      </c>
      <c r="AZ219" s="32"/>
      <c r="BA219" s="25" t="s">
        <v>762</v>
      </c>
      <c r="BB219" s="26" t="s">
        <v>118</v>
      </c>
      <c r="BC219" s="27"/>
      <c r="BD219" s="24" t="s">
        <v>112</v>
      </c>
      <c r="BE219" s="27"/>
      <c r="BF219" s="27"/>
      <c r="BG219" s="27"/>
      <c r="BH219" s="27"/>
    </row>
    <row r="220" ht="14.25" customHeight="1">
      <c r="A220" s="119" t="s">
        <v>763</v>
      </c>
      <c r="B220" s="119"/>
      <c r="C220" s="120"/>
      <c r="D220" s="14"/>
      <c r="E220" s="15"/>
      <c r="F220" s="15"/>
      <c r="G220" s="12"/>
      <c r="H220" s="16"/>
      <c r="I220" s="17">
        <v>0.0</v>
      </c>
      <c r="J220" s="18"/>
      <c r="K220" s="18"/>
      <c r="L220" s="18" t="s">
        <v>129</v>
      </c>
      <c r="M220" s="18" t="s">
        <v>60</v>
      </c>
      <c r="N220" s="18"/>
      <c r="O220" s="18" t="s">
        <v>60</v>
      </c>
      <c r="P220" s="18" t="s">
        <v>60</v>
      </c>
      <c r="Q220" s="19" t="s">
        <v>60</v>
      </c>
      <c r="R220" s="15">
        <f t="shared" si="3"/>
        <v>0</v>
      </c>
      <c r="S220" s="15">
        <v>4.0</v>
      </c>
      <c r="T220" s="15">
        <v>0.0</v>
      </c>
      <c r="U220" s="20">
        <f t="shared" si="4"/>
        <v>0</v>
      </c>
      <c r="V220" s="15">
        <f t="shared" si="5"/>
        <v>4</v>
      </c>
      <c r="W220" s="15">
        <v>4.0</v>
      </c>
      <c r="X220" s="20">
        <f t="shared" si="6"/>
        <v>1</v>
      </c>
      <c r="Y220" s="15">
        <f t="shared" ref="Y220:Z220" si="444">AE220-W220</f>
        <v>0</v>
      </c>
      <c r="Z220" s="20">
        <f t="shared" si="444"/>
        <v>0</v>
      </c>
      <c r="AA220" s="15">
        <v>4.0</v>
      </c>
      <c r="AB220" s="20">
        <f t="shared" si="8"/>
        <v>1</v>
      </c>
      <c r="AC220" s="15">
        <f t="shared" ref="AC220:AD220" si="445">AE220-AA220</f>
        <v>0</v>
      </c>
      <c r="AD220" s="20">
        <f t="shared" si="445"/>
        <v>0</v>
      </c>
      <c r="AE220" s="15">
        <v>4.0</v>
      </c>
      <c r="AF220" s="20">
        <f t="shared" si="10"/>
        <v>1</v>
      </c>
      <c r="AG220" s="15" t="e">
        <v>#N/A</v>
      </c>
      <c r="AH220" s="20" t="str">
        <f t="shared" si="11"/>
        <v>#N/A</v>
      </c>
      <c r="AI220" s="15">
        <v>4.0</v>
      </c>
      <c r="AJ220" s="15">
        <v>0.0</v>
      </c>
      <c r="AK220" s="21">
        <v>0.0</v>
      </c>
      <c r="AL220" s="22">
        <v>1.0</v>
      </c>
      <c r="AM220" s="15">
        <v>0.0</v>
      </c>
      <c r="AN220" s="15">
        <v>0.0</v>
      </c>
      <c r="AO220" s="23" t="s">
        <v>697</v>
      </c>
      <c r="AP220" s="23" t="s">
        <v>697</v>
      </c>
      <c r="AQ220" s="13" t="s">
        <v>104</v>
      </c>
      <c r="AR220" s="24" t="s">
        <v>66</v>
      </c>
      <c r="AS220" s="24"/>
      <c r="AT220" s="52" t="s">
        <v>764</v>
      </c>
      <c r="AU220" s="26" t="s">
        <v>118</v>
      </c>
      <c r="AV220" s="27"/>
      <c r="AW220" s="24" t="s">
        <v>133</v>
      </c>
      <c r="AX220" s="42">
        <v>46002.0</v>
      </c>
      <c r="AY220" s="29" t="s">
        <v>173</v>
      </c>
      <c r="AZ220" s="29"/>
      <c r="BA220" s="28"/>
      <c r="BB220" s="26" t="s">
        <v>90</v>
      </c>
      <c r="BC220" s="27"/>
      <c r="BD220" s="24"/>
      <c r="BE220" s="24"/>
      <c r="BF220" s="27"/>
      <c r="BG220" s="27"/>
      <c r="BH220" s="27"/>
    </row>
    <row r="221" ht="14.25" customHeight="1">
      <c r="A221" s="119" t="s">
        <v>765</v>
      </c>
      <c r="B221" s="119"/>
      <c r="C221" s="120"/>
      <c r="D221" s="14"/>
      <c r="E221" s="15"/>
      <c r="F221" s="15"/>
      <c r="G221" s="12"/>
      <c r="H221" s="16"/>
      <c r="I221" s="17">
        <v>0.875</v>
      </c>
      <c r="J221" s="18" t="s">
        <v>114</v>
      </c>
      <c r="K221" s="18" t="s">
        <v>84</v>
      </c>
      <c r="L221" s="18" t="s">
        <v>60</v>
      </c>
      <c r="M221" s="18" t="s">
        <v>60</v>
      </c>
      <c r="N221" s="18"/>
      <c r="O221" s="18" t="s">
        <v>60</v>
      </c>
      <c r="P221" s="18" t="s">
        <v>60</v>
      </c>
      <c r="Q221" s="19" t="s">
        <v>60</v>
      </c>
      <c r="R221" s="15">
        <f t="shared" si="3"/>
        <v>0</v>
      </c>
      <c r="S221" s="15">
        <v>3.0</v>
      </c>
      <c r="T221" s="15">
        <v>3.0</v>
      </c>
      <c r="U221" s="20">
        <f t="shared" si="4"/>
        <v>1</v>
      </c>
      <c r="V221" s="15">
        <f t="shared" si="5"/>
        <v>0</v>
      </c>
      <c r="W221" s="15">
        <v>3.0</v>
      </c>
      <c r="X221" s="20">
        <f t="shared" si="6"/>
        <v>1</v>
      </c>
      <c r="Y221" s="15">
        <f t="shared" ref="Y221:Z221" si="446">AE221-W221</f>
        <v>0</v>
      </c>
      <c r="Z221" s="20">
        <f t="shared" si="446"/>
        <v>0</v>
      </c>
      <c r="AA221" s="15">
        <v>3.0</v>
      </c>
      <c r="AB221" s="20">
        <f t="shared" si="8"/>
        <v>1</v>
      </c>
      <c r="AC221" s="15">
        <f t="shared" ref="AC221:AD221" si="447">AE221-AA221</f>
        <v>0</v>
      </c>
      <c r="AD221" s="20">
        <f t="shared" si="447"/>
        <v>0</v>
      </c>
      <c r="AE221" s="15">
        <v>3.0</v>
      </c>
      <c r="AF221" s="20">
        <f t="shared" si="10"/>
        <v>1</v>
      </c>
      <c r="AG221" s="15" t="e">
        <v>#N/A</v>
      </c>
      <c r="AH221" s="20" t="str">
        <f t="shared" si="11"/>
        <v>#N/A</v>
      </c>
      <c r="AI221" s="15">
        <v>3.0</v>
      </c>
      <c r="AJ221" s="15">
        <v>0.0</v>
      </c>
      <c r="AK221" s="21">
        <v>0.0</v>
      </c>
      <c r="AL221" s="22">
        <v>1.0</v>
      </c>
      <c r="AM221" s="15">
        <v>0.0</v>
      </c>
      <c r="AN221" s="15">
        <v>0.0</v>
      </c>
      <c r="AO221" s="23" t="s">
        <v>697</v>
      </c>
      <c r="AP221" s="23" t="s">
        <v>697</v>
      </c>
      <c r="AQ221" s="13" t="s">
        <v>108</v>
      </c>
      <c r="AR221" s="24" t="s">
        <v>66</v>
      </c>
      <c r="AS221" s="24"/>
      <c r="AT221" s="25" t="s">
        <v>766</v>
      </c>
      <c r="AU221" s="26" t="s">
        <v>68</v>
      </c>
      <c r="AV221" s="27"/>
      <c r="AW221" s="24" t="s">
        <v>69</v>
      </c>
      <c r="AX221" s="28"/>
      <c r="AY221" s="29" t="s">
        <v>70</v>
      </c>
      <c r="AZ221" s="32"/>
      <c r="BA221" s="25" t="s">
        <v>767</v>
      </c>
      <c r="BB221" s="26" t="s">
        <v>72</v>
      </c>
      <c r="BC221" s="27"/>
      <c r="BD221" s="24" t="s">
        <v>307</v>
      </c>
      <c r="BE221" s="27"/>
      <c r="BF221" s="27"/>
      <c r="BG221" s="27"/>
      <c r="BH221" s="27"/>
    </row>
    <row r="222" ht="14.25" customHeight="1">
      <c r="A222" s="119" t="s">
        <v>768</v>
      </c>
      <c r="B222" s="119"/>
      <c r="C222" s="120"/>
      <c r="D222" s="14"/>
      <c r="E222" s="15"/>
      <c r="F222" s="15"/>
      <c r="G222" s="12"/>
      <c r="H222" s="16"/>
      <c r="I222" s="17">
        <v>0.0</v>
      </c>
      <c r="J222" s="18"/>
      <c r="K222" s="18"/>
      <c r="L222" s="18" t="s">
        <v>84</v>
      </c>
      <c r="M222" s="18" t="s">
        <v>84</v>
      </c>
      <c r="N222" s="18"/>
      <c r="O222" s="18" t="s">
        <v>84</v>
      </c>
      <c r="P222" s="18" t="s">
        <v>84</v>
      </c>
      <c r="Q222" s="19" t="s">
        <v>129</v>
      </c>
      <c r="R222" s="15">
        <f t="shared" si="3"/>
        <v>0</v>
      </c>
      <c r="S222" s="15">
        <v>2.0</v>
      </c>
      <c r="T222" s="15">
        <v>0.0</v>
      </c>
      <c r="U222" s="20">
        <f t="shared" si="4"/>
        <v>0</v>
      </c>
      <c r="V222" s="15">
        <f t="shared" si="5"/>
        <v>2</v>
      </c>
      <c r="W222" s="15">
        <v>0.0</v>
      </c>
      <c r="X222" s="20">
        <f t="shared" si="6"/>
        <v>0</v>
      </c>
      <c r="Y222" s="15">
        <f t="shared" ref="Y222:Z222" si="448">AE222-W222</f>
        <v>1</v>
      </c>
      <c r="Z222" s="20">
        <f t="shared" si="448"/>
        <v>0.5</v>
      </c>
      <c r="AA222" s="15">
        <v>0.0</v>
      </c>
      <c r="AB222" s="20">
        <f t="shared" si="8"/>
        <v>0</v>
      </c>
      <c r="AC222" s="15">
        <f t="shared" ref="AC222:AD222" si="449">AE222-AA222</f>
        <v>1</v>
      </c>
      <c r="AD222" s="20">
        <f t="shared" si="449"/>
        <v>0.5</v>
      </c>
      <c r="AE222" s="15">
        <v>1.0</v>
      </c>
      <c r="AF222" s="20">
        <f t="shared" si="10"/>
        <v>0.5</v>
      </c>
      <c r="AG222" s="15" t="e">
        <v>#N/A</v>
      </c>
      <c r="AH222" s="20" t="str">
        <f t="shared" si="11"/>
        <v>#N/A</v>
      </c>
      <c r="AI222" s="15">
        <v>2.0</v>
      </c>
      <c r="AJ222" s="15">
        <v>0.0</v>
      </c>
      <c r="AK222" s="21">
        <v>0.0</v>
      </c>
      <c r="AL222" s="22">
        <v>1.0</v>
      </c>
      <c r="AM222" s="15">
        <v>0.0</v>
      </c>
      <c r="AN222" s="15">
        <v>0.0</v>
      </c>
      <c r="AO222" s="23" t="s">
        <v>697</v>
      </c>
      <c r="AP222" s="23" t="s">
        <v>697</v>
      </c>
      <c r="AQ222" s="13" t="s">
        <v>65</v>
      </c>
      <c r="AR222" s="24" t="s">
        <v>66</v>
      </c>
      <c r="AS222" s="24"/>
      <c r="AT222" s="25" t="s">
        <v>769</v>
      </c>
      <c r="AU222" s="26" t="s">
        <v>68</v>
      </c>
      <c r="AV222" s="27"/>
      <c r="AW222" s="24" t="s">
        <v>69</v>
      </c>
      <c r="AX222" s="28"/>
      <c r="AY222" s="29" t="s">
        <v>89</v>
      </c>
      <c r="AZ222" s="29"/>
      <c r="BA222" s="28"/>
      <c r="BB222" s="26" t="s">
        <v>90</v>
      </c>
      <c r="BC222" s="27"/>
      <c r="BD222" s="34" t="s">
        <v>91</v>
      </c>
      <c r="BE222" s="34"/>
      <c r="BF222" s="27"/>
      <c r="BG222" s="27"/>
      <c r="BH222" s="27"/>
    </row>
    <row r="223" ht="14.25" customHeight="1">
      <c r="A223" s="119" t="s">
        <v>770</v>
      </c>
      <c r="B223" s="119"/>
      <c r="C223" s="120"/>
      <c r="D223" s="14"/>
      <c r="E223" s="15"/>
      <c r="F223" s="15"/>
      <c r="G223" s="12"/>
      <c r="H223" s="16"/>
      <c r="I223" s="17">
        <v>0.0</v>
      </c>
      <c r="J223" s="18"/>
      <c r="K223" s="18"/>
      <c r="L223" s="18" t="s">
        <v>84</v>
      </c>
      <c r="M223" s="18" t="s">
        <v>84</v>
      </c>
      <c r="N223" s="18"/>
      <c r="O223" s="18" t="s">
        <v>84</v>
      </c>
      <c r="P223" s="18" t="s">
        <v>86</v>
      </c>
      <c r="Q223" s="19" t="s">
        <v>60</v>
      </c>
      <c r="R223" s="15">
        <f t="shared" si="3"/>
        <v>0</v>
      </c>
      <c r="S223" s="15">
        <v>2.0</v>
      </c>
      <c r="T223" s="15">
        <v>0.0</v>
      </c>
      <c r="U223" s="20">
        <f t="shared" si="4"/>
        <v>0</v>
      </c>
      <c r="V223" s="15">
        <f t="shared" si="5"/>
        <v>2</v>
      </c>
      <c r="W223" s="15">
        <v>0.0</v>
      </c>
      <c r="X223" s="20">
        <f t="shared" si="6"/>
        <v>0</v>
      </c>
      <c r="Y223" s="15">
        <f t="shared" ref="Y223:Z223" si="450">AE223-W223</f>
        <v>2</v>
      </c>
      <c r="Z223" s="20">
        <f t="shared" si="450"/>
        <v>1</v>
      </c>
      <c r="AA223" s="15">
        <v>2.0</v>
      </c>
      <c r="AB223" s="20">
        <f t="shared" si="8"/>
        <v>1</v>
      </c>
      <c r="AC223" s="15">
        <f t="shared" ref="AC223:AD223" si="451">AE223-AA223</f>
        <v>0</v>
      </c>
      <c r="AD223" s="20">
        <f t="shared" si="451"/>
        <v>0</v>
      </c>
      <c r="AE223" s="15">
        <v>2.0</v>
      </c>
      <c r="AF223" s="20">
        <f t="shared" si="10"/>
        <v>1</v>
      </c>
      <c r="AG223" s="15" t="e">
        <v>#N/A</v>
      </c>
      <c r="AH223" s="20" t="str">
        <f t="shared" si="11"/>
        <v>#N/A</v>
      </c>
      <c r="AI223" s="15">
        <v>2.0</v>
      </c>
      <c r="AJ223" s="15">
        <v>0.0</v>
      </c>
      <c r="AK223" s="21">
        <v>0.0</v>
      </c>
      <c r="AL223" s="22">
        <v>1.0</v>
      </c>
      <c r="AM223" s="15">
        <v>0.0</v>
      </c>
      <c r="AN223" s="15">
        <v>0.0</v>
      </c>
      <c r="AO223" s="23" t="s">
        <v>697</v>
      </c>
      <c r="AP223" s="23" t="s">
        <v>697</v>
      </c>
      <c r="AQ223" s="13" t="s">
        <v>65</v>
      </c>
      <c r="AR223" s="24" t="s">
        <v>66</v>
      </c>
      <c r="AS223" s="24"/>
      <c r="AT223" s="25" t="s">
        <v>771</v>
      </c>
      <c r="AU223" s="26" t="s">
        <v>68</v>
      </c>
      <c r="AV223" s="27"/>
      <c r="AW223" s="24" t="s">
        <v>100</v>
      </c>
      <c r="AX223" s="28"/>
      <c r="AY223" s="29" t="s">
        <v>89</v>
      </c>
      <c r="AZ223" s="29"/>
      <c r="BA223" s="28"/>
      <c r="BB223" s="26" t="s">
        <v>90</v>
      </c>
      <c r="BC223" s="27"/>
      <c r="BD223" s="34" t="s">
        <v>91</v>
      </c>
      <c r="BE223" s="34"/>
      <c r="BF223" s="27"/>
      <c r="BG223" s="27"/>
      <c r="BH223" s="27"/>
    </row>
    <row r="224" ht="14.25" customHeight="1">
      <c r="A224" s="12" t="s">
        <v>772</v>
      </c>
      <c r="B224" s="12"/>
      <c r="C224" s="13"/>
      <c r="D224" s="14"/>
      <c r="E224" s="15"/>
      <c r="F224" s="15"/>
      <c r="G224" s="12"/>
      <c r="H224" s="16"/>
      <c r="I224" s="17">
        <v>0.0</v>
      </c>
      <c r="J224" s="18"/>
      <c r="K224" s="18"/>
      <c r="L224" s="18" t="s">
        <v>84</v>
      </c>
      <c r="M224" s="18" t="s">
        <v>84</v>
      </c>
      <c r="N224" s="18"/>
      <c r="O224" s="18" t="s">
        <v>62</v>
      </c>
      <c r="P224" s="19" t="s">
        <v>62</v>
      </c>
      <c r="Q224" s="19" t="s">
        <v>62</v>
      </c>
      <c r="R224" s="15">
        <f t="shared" si="3"/>
        <v>0</v>
      </c>
      <c r="S224" s="15">
        <v>23.0</v>
      </c>
      <c r="T224" s="15">
        <v>0.0</v>
      </c>
      <c r="U224" s="20">
        <f t="shared" si="4"/>
        <v>0</v>
      </c>
      <c r="V224" s="15">
        <f t="shared" si="5"/>
        <v>15</v>
      </c>
      <c r="W224" s="15">
        <v>2.0</v>
      </c>
      <c r="X224" s="20">
        <f t="shared" si="6"/>
        <v>0.08695652174</v>
      </c>
      <c r="Y224" s="15">
        <f t="shared" ref="Y224:Z224" si="452">AE224-W224</f>
        <v>14</v>
      </c>
      <c r="Z224" s="20">
        <f t="shared" si="452"/>
        <v>0.6086956522</v>
      </c>
      <c r="AA224" s="15">
        <v>2.0</v>
      </c>
      <c r="AB224" s="20">
        <f t="shared" si="8"/>
        <v>0.08695652174</v>
      </c>
      <c r="AC224" s="15">
        <f t="shared" ref="AC224:AD224" si="453">AE224-AA224</f>
        <v>14</v>
      </c>
      <c r="AD224" s="20">
        <f t="shared" si="453"/>
        <v>0.6086956522</v>
      </c>
      <c r="AE224" s="15">
        <v>16.0</v>
      </c>
      <c r="AF224" s="20">
        <f t="shared" si="10"/>
        <v>0.6956521739</v>
      </c>
      <c r="AG224" s="15" t="e">
        <v>#N/A</v>
      </c>
      <c r="AH224" s="20" t="str">
        <f t="shared" si="11"/>
        <v>#N/A</v>
      </c>
      <c r="AI224" s="15">
        <v>15.0</v>
      </c>
      <c r="AJ224" s="15">
        <v>0.0</v>
      </c>
      <c r="AK224" s="21">
        <v>1.0</v>
      </c>
      <c r="AL224" s="22">
        <v>0.695652173913043</v>
      </c>
      <c r="AM224" s="15">
        <v>0.0</v>
      </c>
      <c r="AN224" s="15">
        <v>6.0</v>
      </c>
      <c r="AO224" s="23" t="s">
        <v>697</v>
      </c>
      <c r="AP224" s="23" t="s">
        <v>697</v>
      </c>
      <c r="AQ224" s="13" t="s">
        <v>108</v>
      </c>
      <c r="AR224" s="24" t="s">
        <v>130</v>
      </c>
      <c r="AS224" s="24"/>
      <c r="AT224" s="25" t="s">
        <v>773</v>
      </c>
      <c r="AU224" s="26" t="s">
        <v>68</v>
      </c>
      <c r="AV224" s="36"/>
      <c r="AW224" s="24" t="s">
        <v>69</v>
      </c>
      <c r="AX224" s="27"/>
      <c r="AY224" s="29" t="s">
        <v>89</v>
      </c>
      <c r="AZ224" s="29"/>
      <c r="BA224" s="28"/>
      <c r="BB224" s="26" t="s">
        <v>90</v>
      </c>
      <c r="BC224" s="27"/>
      <c r="BD224" s="34" t="s">
        <v>91</v>
      </c>
      <c r="BE224" s="34"/>
      <c r="BF224" s="27"/>
      <c r="BG224" s="27"/>
      <c r="BH224" s="27"/>
    </row>
    <row r="225" ht="14.25" customHeight="1">
      <c r="A225" s="119" t="s">
        <v>774</v>
      </c>
      <c r="B225" s="119"/>
      <c r="C225" s="120"/>
      <c r="D225" s="14"/>
      <c r="E225" s="15"/>
      <c r="F225" s="15"/>
      <c r="G225" s="12"/>
      <c r="H225" s="16"/>
      <c r="I225" s="17">
        <v>1.0</v>
      </c>
      <c r="J225" s="18" t="s">
        <v>775</v>
      </c>
      <c r="K225" s="18" t="s">
        <v>270</v>
      </c>
      <c r="L225" s="18" t="s">
        <v>60</v>
      </c>
      <c r="M225" s="18" t="s">
        <v>60</v>
      </c>
      <c r="N225" s="18"/>
      <c r="O225" s="18" t="s">
        <v>60</v>
      </c>
      <c r="P225" s="18" t="s">
        <v>60</v>
      </c>
      <c r="Q225" s="19" t="s">
        <v>60</v>
      </c>
      <c r="R225" s="15">
        <f t="shared" si="3"/>
        <v>0</v>
      </c>
      <c r="S225" s="15">
        <v>1.0</v>
      </c>
      <c r="T225" s="15">
        <v>1.0</v>
      </c>
      <c r="U225" s="20">
        <f t="shared" si="4"/>
        <v>1</v>
      </c>
      <c r="V225" s="15">
        <f t="shared" si="5"/>
        <v>0</v>
      </c>
      <c r="W225" s="15">
        <v>1.0</v>
      </c>
      <c r="X225" s="20">
        <f t="shared" si="6"/>
        <v>1</v>
      </c>
      <c r="Y225" s="15">
        <f t="shared" ref="Y225:Z225" si="454">AE225-W225</f>
        <v>0</v>
      </c>
      <c r="Z225" s="20">
        <f t="shared" si="454"/>
        <v>0</v>
      </c>
      <c r="AA225" s="15">
        <v>1.0</v>
      </c>
      <c r="AB225" s="20">
        <f t="shared" si="8"/>
        <v>1</v>
      </c>
      <c r="AC225" s="15">
        <f t="shared" ref="AC225:AD225" si="455">AE225-AA225</f>
        <v>0</v>
      </c>
      <c r="AD225" s="20">
        <f t="shared" si="455"/>
        <v>0</v>
      </c>
      <c r="AE225" s="15">
        <v>1.0</v>
      </c>
      <c r="AF225" s="20">
        <f t="shared" si="10"/>
        <v>1</v>
      </c>
      <c r="AG225" s="15" t="e">
        <v>#N/A</v>
      </c>
      <c r="AH225" s="20" t="str">
        <f t="shared" si="11"/>
        <v>#N/A</v>
      </c>
      <c r="AI225" s="15">
        <v>1.0</v>
      </c>
      <c r="AJ225" s="15">
        <v>0.0</v>
      </c>
      <c r="AK225" s="21">
        <v>0.0</v>
      </c>
      <c r="AL225" s="22">
        <v>1.0</v>
      </c>
      <c r="AM225" s="15">
        <v>0.0</v>
      </c>
      <c r="AN225" s="15">
        <v>0.0</v>
      </c>
      <c r="AO225" s="23" t="s">
        <v>697</v>
      </c>
      <c r="AP225" s="23" t="s">
        <v>697</v>
      </c>
      <c r="AQ225" s="13" t="s">
        <v>93</v>
      </c>
      <c r="AR225" s="24" t="s">
        <v>66</v>
      </c>
      <c r="AS225" s="24"/>
      <c r="AT225" s="25" t="s">
        <v>776</v>
      </c>
      <c r="AU225" s="26" t="s">
        <v>68</v>
      </c>
      <c r="AV225" s="27"/>
      <c r="AW225" s="24" t="s">
        <v>69</v>
      </c>
      <c r="AX225" s="28"/>
      <c r="AY225" s="29" t="s">
        <v>70</v>
      </c>
      <c r="AZ225" s="32"/>
      <c r="BA225" s="25" t="s">
        <v>777</v>
      </c>
      <c r="BB225" s="26" t="s">
        <v>72</v>
      </c>
      <c r="BC225" s="27"/>
      <c r="BD225" s="24" t="s">
        <v>96</v>
      </c>
      <c r="BE225" s="27"/>
      <c r="BF225" s="27"/>
      <c r="BG225" s="27"/>
      <c r="BH225" s="27"/>
    </row>
    <row r="226" ht="14.25" customHeight="1">
      <c r="A226" s="119" t="s">
        <v>778</v>
      </c>
      <c r="B226" s="119"/>
      <c r="C226" s="120"/>
      <c r="D226" s="14"/>
      <c r="E226" s="15"/>
      <c r="F226" s="15"/>
      <c r="G226" s="12"/>
      <c r="H226" s="16"/>
      <c r="I226" s="17">
        <v>0.0</v>
      </c>
      <c r="J226" s="18"/>
      <c r="K226" s="18"/>
      <c r="L226" s="18" t="s">
        <v>84</v>
      </c>
      <c r="M226" s="18" t="s">
        <v>84</v>
      </c>
      <c r="N226" s="18"/>
      <c r="O226" s="18" t="s">
        <v>84</v>
      </c>
      <c r="P226" s="18" t="s">
        <v>84</v>
      </c>
      <c r="Q226" s="19" t="s">
        <v>84</v>
      </c>
      <c r="R226" s="15">
        <f t="shared" si="3"/>
        <v>0</v>
      </c>
      <c r="S226" s="15">
        <v>2.0</v>
      </c>
      <c r="T226" s="15">
        <v>0.0</v>
      </c>
      <c r="U226" s="20">
        <f t="shared" si="4"/>
        <v>0</v>
      </c>
      <c r="V226" s="15">
        <f t="shared" si="5"/>
        <v>1</v>
      </c>
      <c r="W226" s="15">
        <v>0.0</v>
      </c>
      <c r="X226" s="20">
        <f t="shared" si="6"/>
        <v>0</v>
      </c>
      <c r="Y226" s="15">
        <f t="shared" ref="Y226:Z226" si="456">AE226-W226</f>
        <v>1</v>
      </c>
      <c r="Z226" s="20">
        <f t="shared" si="456"/>
        <v>0.5</v>
      </c>
      <c r="AA226" s="15">
        <v>0.0</v>
      </c>
      <c r="AB226" s="20">
        <f t="shared" si="8"/>
        <v>0</v>
      </c>
      <c r="AC226" s="15">
        <f t="shared" ref="AC226:AD226" si="457">AE226-AA226</f>
        <v>1</v>
      </c>
      <c r="AD226" s="20">
        <f t="shared" si="457"/>
        <v>0.5</v>
      </c>
      <c r="AE226" s="15">
        <v>1.0</v>
      </c>
      <c r="AF226" s="20">
        <f t="shared" si="10"/>
        <v>0.5</v>
      </c>
      <c r="AG226" s="15" t="e">
        <v>#N/A</v>
      </c>
      <c r="AH226" s="20" t="str">
        <f t="shared" si="11"/>
        <v>#N/A</v>
      </c>
      <c r="AI226" s="15">
        <v>1.0</v>
      </c>
      <c r="AJ226" s="15">
        <v>0.0</v>
      </c>
      <c r="AK226" s="21">
        <v>0.0</v>
      </c>
      <c r="AL226" s="22">
        <v>0.5</v>
      </c>
      <c r="AM226" s="15">
        <v>0.0</v>
      </c>
      <c r="AN226" s="15">
        <v>1.0</v>
      </c>
      <c r="AO226" s="23" t="s">
        <v>697</v>
      </c>
      <c r="AP226" s="23" t="s">
        <v>697</v>
      </c>
      <c r="AQ226" s="13" t="s">
        <v>104</v>
      </c>
      <c r="AR226" s="24" t="s">
        <v>130</v>
      </c>
      <c r="AS226" s="24"/>
      <c r="AT226" s="25" t="s">
        <v>779</v>
      </c>
      <c r="AU226" s="26" t="s">
        <v>68</v>
      </c>
      <c r="AV226" s="36"/>
      <c r="AW226" s="24" t="s">
        <v>69</v>
      </c>
      <c r="AX226" s="27"/>
      <c r="AY226" s="29" t="s">
        <v>89</v>
      </c>
      <c r="AZ226" s="29"/>
      <c r="BA226" s="28"/>
      <c r="BB226" s="26" t="s">
        <v>90</v>
      </c>
      <c r="BC226" s="27"/>
      <c r="BD226" s="34" t="s">
        <v>91</v>
      </c>
      <c r="BE226" s="34"/>
      <c r="BF226" s="27"/>
      <c r="BG226" s="27"/>
      <c r="BH226" s="27"/>
    </row>
    <row r="227" ht="14.25" customHeight="1">
      <c r="A227" s="119" t="s">
        <v>780</v>
      </c>
      <c r="B227" s="119"/>
      <c r="C227" s="120"/>
      <c r="D227" s="14"/>
      <c r="E227" s="15"/>
      <c r="F227" s="15"/>
      <c r="G227" s="12"/>
      <c r="H227" s="16"/>
      <c r="I227" s="17">
        <v>1.0</v>
      </c>
      <c r="J227" s="18"/>
      <c r="K227" s="18" t="s">
        <v>62</v>
      </c>
      <c r="L227" s="18" t="s">
        <v>61</v>
      </c>
      <c r="M227" s="18" t="s">
        <v>60</v>
      </c>
      <c r="N227" s="18"/>
      <c r="O227" s="18" t="s">
        <v>60</v>
      </c>
      <c r="P227" s="18" t="s">
        <v>60</v>
      </c>
      <c r="Q227" s="19" t="s">
        <v>60</v>
      </c>
      <c r="R227" s="15">
        <f t="shared" si="3"/>
        <v>0</v>
      </c>
      <c r="S227" s="15">
        <v>2.0</v>
      </c>
      <c r="T227" s="15">
        <v>2.0</v>
      </c>
      <c r="U227" s="20">
        <f t="shared" si="4"/>
        <v>1</v>
      </c>
      <c r="V227" s="15">
        <f t="shared" si="5"/>
        <v>0</v>
      </c>
      <c r="W227" s="15">
        <v>2.0</v>
      </c>
      <c r="X227" s="20">
        <f t="shared" si="6"/>
        <v>1</v>
      </c>
      <c r="Y227" s="15">
        <f t="shared" ref="Y227:Z227" si="458">AE227-W227</f>
        <v>0</v>
      </c>
      <c r="Z227" s="20">
        <f t="shared" si="458"/>
        <v>0</v>
      </c>
      <c r="AA227" s="15">
        <v>2.0</v>
      </c>
      <c r="AB227" s="20">
        <f t="shared" si="8"/>
        <v>1</v>
      </c>
      <c r="AC227" s="15">
        <f t="shared" ref="AC227:AD227" si="459">AE227-AA227</f>
        <v>0</v>
      </c>
      <c r="AD227" s="20">
        <f t="shared" si="459"/>
        <v>0</v>
      </c>
      <c r="AE227" s="15">
        <v>2.0</v>
      </c>
      <c r="AF227" s="20">
        <f t="shared" si="10"/>
        <v>1</v>
      </c>
      <c r="AG227" s="15" t="e">
        <v>#N/A</v>
      </c>
      <c r="AH227" s="20" t="str">
        <f t="shared" si="11"/>
        <v>#N/A</v>
      </c>
      <c r="AI227" s="15">
        <v>2.0</v>
      </c>
      <c r="AJ227" s="15">
        <v>0.0</v>
      </c>
      <c r="AK227" s="21">
        <v>0.0</v>
      </c>
      <c r="AL227" s="22">
        <v>1.0</v>
      </c>
      <c r="AM227" s="15">
        <v>0.0</v>
      </c>
      <c r="AN227" s="15">
        <v>0.0</v>
      </c>
      <c r="AO227" s="23" t="s">
        <v>697</v>
      </c>
      <c r="AP227" s="23" t="s">
        <v>697</v>
      </c>
      <c r="AQ227" s="13" t="s">
        <v>93</v>
      </c>
      <c r="AR227" s="24" t="s">
        <v>66</v>
      </c>
      <c r="AS227" s="24"/>
      <c r="AT227" s="25" t="s">
        <v>781</v>
      </c>
      <c r="AU227" s="26" t="s">
        <v>68</v>
      </c>
      <c r="AV227" s="27"/>
      <c r="AW227" s="24" t="s">
        <v>69</v>
      </c>
      <c r="AX227" s="28"/>
      <c r="AY227" s="29" t="s">
        <v>70</v>
      </c>
      <c r="AZ227" s="32"/>
      <c r="BA227" s="25" t="s">
        <v>782</v>
      </c>
      <c r="BB227" s="26" t="s">
        <v>72</v>
      </c>
      <c r="BC227" s="27"/>
      <c r="BD227" s="24" t="s">
        <v>112</v>
      </c>
      <c r="BE227" s="27"/>
      <c r="BF227" s="27"/>
      <c r="BG227" s="27"/>
      <c r="BH227" s="27"/>
    </row>
    <row r="228" ht="14.25" customHeight="1">
      <c r="A228" s="119" t="s">
        <v>783</v>
      </c>
      <c r="B228" s="119"/>
      <c r="C228" s="120"/>
      <c r="D228" s="14"/>
      <c r="E228" s="15"/>
      <c r="F228" s="15"/>
      <c r="G228" s="12"/>
      <c r="H228" s="16"/>
      <c r="I228" s="17">
        <v>0.0333</v>
      </c>
      <c r="J228" s="18"/>
      <c r="K228" s="18" t="s">
        <v>161</v>
      </c>
      <c r="L228" s="18" t="s">
        <v>85</v>
      </c>
      <c r="M228" s="18" t="s">
        <v>62</v>
      </c>
      <c r="N228" s="18"/>
      <c r="O228" s="18" t="s">
        <v>62</v>
      </c>
      <c r="P228" s="18" t="s">
        <v>86</v>
      </c>
      <c r="Q228" s="19" t="s">
        <v>60</v>
      </c>
      <c r="R228" s="15">
        <f t="shared" si="3"/>
        <v>0</v>
      </c>
      <c r="S228" s="15">
        <v>17.0</v>
      </c>
      <c r="T228" s="15">
        <v>1.0</v>
      </c>
      <c r="U228" s="20">
        <f t="shared" si="4"/>
        <v>0.05882352941</v>
      </c>
      <c r="V228" s="15">
        <f t="shared" si="5"/>
        <v>8</v>
      </c>
      <c r="W228" s="15">
        <v>1.0</v>
      </c>
      <c r="X228" s="20">
        <f t="shared" si="6"/>
        <v>0.05882352941</v>
      </c>
      <c r="Y228" s="15">
        <f t="shared" ref="Y228:Z228" si="460">AE228-W228</f>
        <v>2</v>
      </c>
      <c r="Z228" s="20">
        <f t="shared" si="460"/>
        <v>0.1176470588</v>
      </c>
      <c r="AA228" s="15">
        <v>3.0</v>
      </c>
      <c r="AB228" s="20">
        <f t="shared" si="8"/>
        <v>0.1764705882</v>
      </c>
      <c r="AC228" s="15">
        <f t="shared" ref="AC228:AD228" si="461">AE228-AA228</f>
        <v>0</v>
      </c>
      <c r="AD228" s="20">
        <f t="shared" si="461"/>
        <v>0</v>
      </c>
      <c r="AE228" s="15">
        <v>3.0</v>
      </c>
      <c r="AF228" s="20">
        <f t="shared" si="10"/>
        <v>0.1764705882</v>
      </c>
      <c r="AG228" s="15">
        <v>3.0</v>
      </c>
      <c r="AH228" s="20">
        <f t="shared" si="11"/>
        <v>0.1764705882</v>
      </c>
      <c r="AI228" s="15">
        <v>9.0</v>
      </c>
      <c r="AJ228" s="15">
        <v>0.0</v>
      </c>
      <c r="AK228" s="21">
        <v>0.0</v>
      </c>
      <c r="AL228" s="22">
        <v>0.529411764705882</v>
      </c>
      <c r="AM228" s="15">
        <v>0.0</v>
      </c>
      <c r="AN228" s="15">
        <v>8.0</v>
      </c>
      <c r="AO228" s="23" t="s">
        <v>697</v>
      </c>
      <c r="AP228" s="23" t="s">
        <v>697</v>
      </c>
      <c r="AQ228" s="13" t="s">
        <v>93</v>
      </c>
      <c r="AR228" s="24" t="s">
        <v>130</v>
      </c>
      <c r="AS228" s="24"/>
      <c r="AT228" s="25" t="s">
        <v>784</v>
      </c>
      <c r="AU228" s="26" t="s">
        <v>68</v>
      </c>
      <c r="AV228" s="36"/>
      <c r="AW228" s="24" t="s">
        <v>79</v>
      </c>
      <c r="AX228" s="28"/>
      <c r="AY228" s="29" t="s">
        <v>89</v>
      </c>
      <c r="AZ228" s="29"/>
      <c r="BA228" s="28"/>
      <c r="BB228" s="26" t="s">
        <v>90</v>
      </c>
      <c r="BC228" s="27"/>
      <c r="BD228" s="34" t="s">
        <v>91</v>
      </c>
      <c r="BE228" s="34"/>
      <c r="BF228" s="27"/>
      <c r="BG228" s="27"/>
      <c r="BH228" s="27"/>
    </row>
    <row r="229" ht="14.25" customHeight="1">
      <c r="A229" s="12" t="s">
        <v>785</v>
      </c>
      <c r="B229" s="12"/>
      <c r="C229" s="13"/>
      <c r="D229" s="14"/>
      <c r="E229" s="15"/>
      <c r="F229" s="15"/>
      <c r="G229" s="12"/>
      <c r="H229" s="16"/>
      <c r="I229" s="17">
        <v>0.0099</v>
      </c>
      <c r="J229" s="18"/>
      <c r="K229" s="18" t="s">
        <v>84</v>
      </c>
      <c r="L229" s="18" t="s">
        <v>62</v>
      </c>
      <c r="M229" s="18" t="s">
        <v>62</v>
      </c>
      <c r="N229" s="18"/>
      <c r="O229" s="18" t="s">
        <v>62</v>
      </c>
      <c r="P229" s="18" t="s">
        <v>86</v>
      </c>
      <c r="Q229" s="19" t="s">
        <v>60</v>
      </c>
      <c r="R229" s="15">
        <f t="shared" si="3"/>
        <v>0</v>
      </c>
      <c r="S229" s="15">
        <v>68.0</v>
      </c>
      <c r="T229" s="15">
        <v>0.0</v>
      </c>
      <c r="U229" s="20">
        <f t="shared" si="4"/>
        <v>0</v>
      </c>
      <c r="V229" s="15">
        <f t="shared" si="5"/>
        <v>31</v>
      </c>
      <c r="W229" s="15">
        <v>10.0</v>
      </c>
      <c r="X229" s="20">
        <f t="shared" si="6"/>
        <v>0.1470588235</v>
      </c>
      <c r="Y229" s="15">
        <f t="shared" ref="Y229:Z229" si="462">AE229-W229</f>
        <v>21</v>
      </c>
      <c r="Z229" s="20">
        <f t="shared" si="462"/>
        <v>0.3088235294</v>
      </c>
      <c r="AA229" s="15">
        <v>31.0</v>
      </c>
      <c r="AB229" s="20">
        <f t="shared" si="8"/>
        <v>0.4558823529</v>
      </c>
      <c r="AC229" s="15">
        <f t="shared" ref="AC229:AD229" si="463">AE229-AA229</f>
        <v>0</v>
      </c>
      <c r="AD229" s="20">
        <f t="shared" si="463"/>
        <v>0</v>
      </c>
      <c r="AE229" s="15">
        <v>31.0</v>
      </c>
      <c r="AF229" s="20">
        <f t="shared" si="10"/>
        <v>0.4558823529</v>
      </c>
      <c r="AG229" s="15">
        <v>31.0</v>
      </c>
      <c r="AH229" s="20">
        <f t="shared" si="11"/>
        <v>0.4558823529</v>
      </c>
      <c r="AI229" s="15">
        <v>31.0</v>
      </c>
      <c r="AJ229" s="15">
        <v>0.0</v>
      </c>
      <c r="AK229" s="21">
        <v>0.0</v>
      </c>
      <c r="AL229" s="22">
        <v>0.455882352941176</v>
      </c>
      <c r="AM229" s="15">
        <v>27.0</v>
      </c>
      <c r="AN229" s="15">
        <v>37.0</v>
      </c>
      <c r="AO229" s="23" t="s">
        <v>697</v>
      </c>
      <c r="AP229" s="23" t="s">
        <v>697</v>
      </c>
      <c r="AQ229" s="13" t="s">
        <v>65</v>
      </c>
      <c r="AR229" s="24" t="s">
        <v>130</v>
      </c>
      <c r="AS229" s="24"/>
      <c r="AT229" s="25" t="s">
        <v>786</v>
      </c>
      <c r="AU229" s="26" t="s">
        <v>68</v>
      </c>
      <c r="AV229" s="27"/>
      <c r="AW229" s="24" t="s">
        <v>69</v>
      </c>
      <c r="AX229" s="28"/>
      <c r="AY229" s="29" t="s">
        <v>89</v>
      </c>
      <c r="AZ229" s="29"/>
      <c r="BA229" s="28"/>
      <c r="BB229" s="26" t="s">
        <v>90</v>
      </c>
      <c r="BC229" s="27"/>
      <c r="BD229" s="34" t="s">
        <v>91</v>
      </c>
      <c r="BE229" s="34"/>
      <c r="BF229" s="27"/>
      <c r="BG229" s="27"/>
      <c r="BH229" s="27"/>
    </row>
    <row r="230" ht="14.25" customHeight="1">
      <c r="A230" s="119" t="s">
        <v>787</v>
      </c>
      <c r="B230" s="119"/>
      <c r="C230" s="120"/>
      <c r="D230" s="14"/>
      <c r="E230" s="15"/>
      <c r="F230" s="15"/>
      <c r="G230" s="12"/>
      <c r="H230" s="16"/>
      <c r="I230" s="17">
        <v>0.1111</v>
      </c>
      <c r="J230" s="18"/>
      <c r="K230" s="18" t="s">
        <v>62</v>
      </c>
      <c r="L230" s="18" t="s">
        <v>62</v>
      </c>
      <c r="M230" s="18" t="s">
        <v>62</v>
      </c>
      <c r="N230" s="18"/>
      <c r="O230" s="18" t="s">
        <v>60</v>
      </c>
      <c r="P230" s="18" t="s">
        <v>60</v>
      </c>
      <c r="Q230" s="19" t="s">
        <v>60</v>
      </c>
      <c r="R230" s="15">
        <f t="shared" si="3"/>
        <v>0</v>
      </c>
      <c r="S230" s="15">
        <v>8.0</v>
      </c>
      <c r="T230" s="15">
        <v>1.0</v>
      </c>
      <c r="U230" s="20">
        <f t="shared" si="4"/>
        <v>0.125</v>
      </c>
      <c r="V230" s="15">
        <f t="shared" si="5"/>
        <v>7</v>
      </c>
      <c r="W230" s="15">
        <v>8.0</v>
      </c>
      <c r="X230" s="20">
        <f t="shared" si="6"/>
        <v>1</v>
      </c>
      <c r="Y230" s="15">
        <f t="shared" ref="Y230:Z230" si="464">AE230-W230</f>
        <v>0</v>
      </c>
      <c r="Z230" s="20">
        <f t="shared" si="464"/>
        <v>0</v>
      </c>
      <c r="AA230" s="15">
        <v>8.0</v>
      </c>
      <c r="AB230" s="20">
        <f t="shared" si="8"/>
        <v>1</v>
      </c>
      <c r="AC230" s="15">
        <f t="shared" ref="AC230:AD230" si="465">AE230-AA230</f>
        <v>0</v>
      </c>
      <c r="AD230" s="20">
        <f t="shared" si="465"/>
        <v>0</v>
      </c>
      <c r="AE230" s="15">
        <v>8.0</v>
      </c>
      <c r="AF230" s="20">
        <f t="shared" si="10"/>
        <v>1</v>
      </c>
      <c r="AG230" s="15">
        <v>8.0</v>
      </c>
      <c r="AH230" s="20">
        <f t="shared" si="11"/>
        <v>1</v>
      </c>
      <c r="AI230" s="15">
        <v>8.0</v>
      </c>
      <c r="AJ230" s="15">
        <v>0.0</v>
      </c>
      <c r="AK230" s="21">
        <v>0.0</v>
      </c>
      <c r="AL230" s="22">
        <v>1.0</v>
      </c>
      <c r="AM230" s="15">
        <v>0.0</v>
      </c>
      <c r="AN230" s="15">
        <v>0.0</v>
      </c>
      <c r="AO230" s="23" t="s">
        <v>697</v>
      </c>
      <c r="AP230" s="23" t="s">
        <v>697</v>
      </c>
      <c r="AQ230" s="13" t="s">
        <v>108</v>
      </c>
      <c r="AR230" s="24" t="s">
        <v>66</v>
      </c>
      <c r="AS230" s="24"/>
      <c r="AT230" s="52" t="s">
        <v>788</v>
      </c>
      <c r="AU230" s="26" t="s">
        <v>253</v>
      </c>
      <c r="AV230" s="27"/>
      <c r="AW230" s="24" t="s">
        <v>133</v>
      </c>
      <c r="AX230" s="42">
        <v>46002.0</v>
      </c>
      <c r="AY230" s="29" t="s">
        <v>254</v>
      </c>
      <c r="AZ230" s="30"/>
      <c r="BA230" s="25" t="s">
        <v>789</v>
      </c>
      <c r="BB230" s="26" t="s">
        <v>168</v>
      </c>
      <c r="BC230" s="27"/>
      <c r="BD230" s="24" t="s">
        <v>112</v>
      </c>
      <c r="BE230" s="27"/>
      <c r="BF230" s="27"/>
      <c r="BG230" s="27"/>
      <c r="BH230" s="27"/>
    </row>
    <row r="231" ht="14.25" customHeight="1">
      <c r="A231" s="119" t="s">
        <v>790</v>
      </c>
      <c r="B231" s="119"/>
      <c r="C231" s="120"/>
      <c r="D231" s="14"/>
      <c r="E231" s="15"/>
      <c r="F231" s="15"/>
      <c r="G231" s="12"/>
      <c r="H231" s="16"/>
      <c r="I231" s="17">
        <v>0.0</v>
      </c>
      <c r="J231" s="18"/>
      <c r="K231" s="18"/>
      <c r="L231" s="18" t="s">
        <v>84</v>
      </c>
      <c r="M231" s="18" t="s">
        <v>84</v>
      </c>
      <c r="N231" s="18"/>
      <c r="O231" s="18" t="s">
        <v>84</v>
      </c>
      <c r="P231" s="18" t="s">
        <v>86</v>
      </c>
      <c r="Q231" s="18" t="s">
        <v>86</v>
      </c>
      <c r="R231" s="15">
        <f t="shared" si="3"/>
        <v>0</v>
      </c>
      <c r="S231" s="15">
        <v>6.0</v>
      </c>
      <c r="T231" s="15">
        <v>0.0</v>
      </c>
      <c r="U231" s="20">
        <f t="shared" si="4"/>
        <v>0</v>
      </c>
      <c r="V231" s="15">
        <f t="shared" si="5"/>
        <v>2</v>
      </c>
      <c r="W231" s="15">
        <v>0.0</v>
      </c>
      <c r="X231" s="20">
        <f t="shared" si="6"/>
        <v>0</v>
      </c>
      <c r="Y231" s="15">
        <f t="shared" ref="Y231:Z231" si="466">AE231-W231</f>
        <v>2</v>
      </c>
      <c r="Z231" s="20">
        <f t="shared" si="466"/>
        <v>0.3333333333</v>
      </c>
      <c r="AA231" s="15">
        <v>0.0</v>
      </c>
      <c r="AB231" s="20">
        <f t="shared" si="8"/>
        <v>0</v>
      </c>
      <c r="AC231" s="15">
        <f t="shared" ref="AC231:AD231" si="467">AE231-AA231</f>
        <v>2</v>
      </c>
      <c r="AD231" s="20">
        <f t="shared" si="467"/>
        <v>0.3333333333</v>
      </c>
      <c r="AE231" s="15">
        <v>2.0</v>
      </c>
      <c r="AF231" s="20">
        <f t="shared" si="10"/>
        <v>0.3333333333</v>
      </c>
      <c r="AG231" s="15" t="e">
        <v>#N/A</v>
      </c>
      <c r="AH231" s="20" t="str">
        <f t="shared" si="11"/>
        <v>#N/A</v>
      </c>
      <c r="AI231" s="15">
        <v>2.0</v>
      </c>
      <c r="AJ231" s="15">
        <v>0.0</v>
      </c>
      <c r="AK231" s="21">
        <v>0.0</v>
      </c>
      <c r="AL231" s="22">
        <v>0.333333333333333</v>
      </c>
      <c r="AM231" s="15">
        <v>4.0</v>
      </c>
      <c r="AN231" s="15">
        <v>4.0</v>
      </c>
      <c r="AO231" s="23" t="s">
        <v>697</v>
      </c>
      <c r="AP231" s="23" t="s">
        <v>697</v>
      </c>
      <c r="AQ231" s="13" t="s">
        <v>93</v>
      </c>
      <c r="AR231" s="24" t="s">
        <v>66</v>
      </c>
      <c r="AS231" s="24"/>
      <c r="AT231" s="25" t="s">
        <v>791</v>
      </c>
      <c r="AU231" s="26" t="s">
        <v>118</v>
      </c>
      <c r="AV231" s="27"/>
      <c r="AW231" s="24" t="s">
        <v>133</v>
      </c>
      <c r="AX231" s="42">
        <v>46002.0</v>
      </c>
      <c r="AY231" s="29" t="s">
        <v>89</v>
      </c>
      <c r="AZ231" s="29"/>
      <c r="BA231" s="28"/>
      <c r="BB231" s="26" t="s">
        <v>90</v>
      </c>
      <c r="BC231" s="27"/>
      <c r="BD231" s="34" t="s">
        <v>91</v>
      </c>
      <c r="BE231" s="34"/>
      <c r="BF231" s="27"/>
      <c r="BG231" s="27"/>
      <c r="BH231" s="27"/>
    </row>
    <row r="232" ht="14.25" customHeight="1">
      <c r="A232" s="119" t="s">
        <v>792</v>
      </c>
      <c r="B232" s="119"/>
      <c r="C232" s="120"/>
      <c r="D232" s="14"/>
      <c r="E232" s="15"/>
      <c r="F232" s="15"/>
      <c r="G232" s="12"/>
      <c r="H232" s="16"/>
      <c r="I232" s="17">
        <v>0.1429</v>
      </c>
      <c r="J232" s="18" t="s">
        <v>793</v>
      </c>
      <c r="K232" s="18" t="s">
        <v>62</v>
      </c>
      <c r="L232" s="18" t="s">
        <v>61</v>
      </c>
      <c r="M232" s="18" t="s">
        <v>60</v>
      </c>
      <c r="N232" s="18"/>
      <c r="O232" s="18" t="s">
        <v>60</v>
      </c>
      <c r="P232" s="18" t="s">
        <v>60</v>
      </c>
      <c r="Q232" s="19" t="s">
        <v>60</v>
      </c>
      <c r="R232" s="15">
        <f t="shared" si="3"/>
        <v>0</v>
      </c>
      <c r="S232" s="15">
        <v>7.0</v>
      </c>
      <c r="T232" s="15">
        <v>1.0</v>
      </c>
      <c r="U232" s="20">
        <f t="shared" si="4"/>
        <v>0.1428571429</v>
      </c>
      <c r="V232" s="15">
        <f t="shared" si="5"/>
        <v>0</v>
      </c>
      <c r="W232" s="15">
        <v>1.0</v>
      </c>
      <c r="X232" s="20">
        <f t="shared" si="6"/>
        <v>0.1428571429</v>
      </c>
      <c r="Y232" s="15">
        <f t="shared" ref="Y232:Z232" si="468">AE232-W232</f>
        <v>0</v>
      </c>
      <c r="Z232" s="20">
        <f t="shared" si="468"/>
        <v>0</v>
      </c>
      <c r="AA232" s="15">
        <v>1.0</v>
      </c>
      <c r="AB232" s="20">
        <f t="shared" si="8"/>
        <v>0.1428571429</v>
      </c>
      <c r="AC232" s="15">
        <f t="shared" ref="AC232:AD232" si="469">AE232-AA232</f>
        <v>0</v>
      </c>
      <c r="AD232" s="20">
        <f t="shared" si="469"/>
        <v>0</v>
      </c>
      <c r="AE232" s="15">
        <v>1.0</v>
      </c>
      <c r="AF232" s="20">
        <f t="shared" si="10"/>
        <v>0.1428571429</v>
      </c>
      <c r="AG232" s="15" t="e">
        <v>#N/A</v>
      </c>
      <c r="AH232" s="20" t="str">
        <f t="shared" si="11"/>
        <v>#N/A</v>
      </c>
      <c r="AI232" s="15">
        <v>1.0</v>
      </c>
      <c r="AJ232" s="15">
        <v>0.0</v>
      </c>
      <c r="AK232" s="21">
        <v>0.0</v>
      </c>
      <c r="AL232" s="22">
        <v>0.142857142857143</v>
      </c>
      <c r="AM232" s="15">
        <v>0.0</v>
      </c>
      <c r="AN232" s="15">
        <v>6.0</v>
      </c>
      <c r="AO232" s="23" t="s">
        <v>697</v>
      </c>
      <c r="AP232" s="23" t="s">
        <v>697</v>
      </c>
      <c r="AQ232" s="13" t="s">
        <v>65</v>
      </c>
      <c r="AR232" s="24" t="s">
        <v>130</v>
      </c>
      <c r="AS232" s="24"/>
      <c r="AT232" s="25" t="s">
        <v>794</v>
      </c>
      <c r="AU232" s="26" t="s">
        <v>253</v>
      </c>
      <c r="AV232" s="27"/>
      <c r="AW232" s="24" t="s">
        <v>133</v>
      </c>
      <c r="AX232" s="42">
        <v>46002.0</v>
      </c>
      <c r="AY232" s="29" t="s">
        <v>254</v>
      </c>
      <c r="AZ232" s="30"/>
      <c r="BA232" s="25" t="s">
        <v>795</v>
      </c>
      <c r="BB232" s="26" t="s">
        <v>168</v>
      </c>
      <c r="BC232" s="27"/>
      <c r="BD232" s="24" t="s">
        <v>112</v>
      </c>
      <c r="BE232" s="27"/>
      <c r="BF232" s="27"/>
      <c r="BG232" s="27"/>
      <c r="BH232" s="27"/>
    </row>
    <row r="233" ht="14.25" customHeight="1">
      <c r="A233" s="119" t="s">
        <v>796</v>
      </c>
      <c r="B233" s="119"/>
      <c r="C233" s="120"/>
      <c r="D233" s="14"/>
      <c r="E233" s="15"/>
      <c r="F233" s="15"/>
      <c r="G233" s="12"/>
      <c r="H233" s="16"/>
      <c r="I233" s="17">
        <v>0.9091</v>
      </c>
      <c r="J233" s="18" t="s">
        <v>775</v>
      </c>
      <c r="K233" s="18" t="s">
        <v>270</v>
      </c>
      <c r="L233" s="18" t="s">
        <v>60</v>
      </c>
      <c r="M233" s="18" t="s">
        <v>60</v>
      </c>
      <c r="N233" s="18"/>
      <c r="O233" s="18" t="s">
        <v>60</v>
      </c>
      <c r="P233" s="18" t="s">
        <v>60</v>
      </c>
      <c r="Q233" s="19" t="s">
        <v>60</v>
      </c>
      <c r="R233" s="15">
        <f t="shared" si="3"/>
        <v>0</v>
      </c>
      <c r="S233" s="15">
        <v>10.0</v>
      </c>
      <c r="T233" s="15">
        <v>9.0</v>
      </c>
      <c r="U233" s="20">
        <f t="shared" si="4"/>
        <v>0.9</v>
      </c>
      <c r="V233" s="15">
        <f t="shared" si="5"/>
        <v>-5</v>
      </c>
      <c r="W233" s="15">
        <v>9.0</v>
      </c>
      <c r="X233" s="20">
        <f t="shared" si="6"/>
        <v>0.9</v>
      </c>
      <c r="Y233" s="15">
        <f t="shared" ref="Y233:Z233" si="470">AE233-W233</f>
        <v>0</v>
      </c>
      <c r="Z233" s="20">
        <f t="shared" si="470"/>
        <v>0</v>
      </c>
      <c r="AA233" s="15">
        <v>9.0</v>
      </c>
      <c r="AB233" s="20">
        <f t="shared" si="8"/>
        <v>0.9</v>
      </c>
      <c r="AC233" s="15">
        <f t="shared" ref="AC233:AD233" si="471">AE233-AA233</f>
        <v>0</v>
      </c>
      <c r="AD233" s="20">
        <f t="shared" si="471"/>
        <v>0</v>
      </c>
      <c r="AE233" s="15">
        <v>9.0</v>
      </c>
      <c r="AF233" s="20">
        <f t="shared" si="10"/>
        <v>0.9</v>
      </c>
      <c r="AG233" s="15">
        <v>9.0</v>
      </c>
      <c r="AH233" s="20">
        <f t="shared" si="11"/>
        <v>0.9</v>
      </c>
      <c r="AI233" s="15">
        <v>4.0</v>
      </c>
      <c r="AJ233" s="15">
        <v>4.0</v>
      </c>
      <c r="AK233" s="21">
        <v>1.0</v>
      </c>
      <c r="AL233" s="22">
        <v>0.9</v>
      </c>
      <c r="AM233" s="15">
        <v>6.0</v>
      </c>
      <c r="AN233" s="15">
        <v>0.0</v>
      </c>
      <c r="AO233" s="23" t="s">
        <v>697</v>
      </c>
      <c r="AP233" s="23" t="s">
        <v>697</v>
      </c>
      <c r="AQ233" s="13" t="s">
        <v>104</v>
      </c>
      <c r="AR233" s="24" t="s">
        <v>66</v>
      </c>
      <c r="AS233" s="24"/>
      <c r="AT233" s="25" t="s">
        <v>797</v>
      </c>
      <c r="AU233" s="26" t="s">
        <v>407</v>
      </c>
      <c r="AV233" s="36"/>
      <c r="AW233" s="24" t="s">
        <v>133</v>
      </c>
      <c r="AX233" s="25" t="s">
        <v>798</v>
      </c>
      <c r="AY233" s="29" t="s">
        <v>70</v>
      </c>
      <c r="AZ233" s="32"/>
      <c r="BA233" s="25" t="s">
        <v>799</v>
      </c>
      <c r="BB233" s="26" t="s">
        <v>118</v>
      </c>
      <c r="BC233" s="27"/>
      <c r="BD233" s="24" t="s">
        <v>112</v>
      </c>
      <c r="BE233" s="27"/>
      <c r="BF233" s="27"/>
      <c r="BG233" s="27"/>
      <c r="BH233" s="27"/>
    </row>
    <row r="234" ht="14.25" customHeight="1">
      <c r="A234" s="119" t="s">
        <v>800</v>
      </c>
      <c r="B234" s="119"/>
      <c r="C234" s="120"/>
      <c r="D234" s="14"/>
      <c r="E234" s="15"/>
      <c r="F234" s="15"/>
      <c r="G234" s="12"/>
      <c r="H234" s="16"/>
      <c r="I234" s="17">
        <v>0.0</v>
      </c>
      <c r="J234" s="18" t="s">
        <v>84</v>
      </c>
      <c r="K234" s="18"/>
      <c r="L234" s="18" t="s">
        <v>84</v>
      </c>
      <c r="M234" s="18" t="s">
        <v>84</v>
      </c>
      <c r="N234" s="18"/>
      <c r="O234" s="18" t="s">
        <v>60</v>
      </c>
      <c r="P234" s="18" t="s">
        <v>60</v>
      </c>
      <c r="Q234" s="19" t="s">
        <v>60</v>
      </c>
      <c r="R234" s="15">
        <f t="shared" si="3"/>
        <v>0</v>
      </c>
      <c r="S234" s="15">
        <v>1.0</v>
      </c>
      <c r="T234" s="15">
        <v>0.0</v>
      </c>
      <c r="U234" s="20">
        <f t="shared" si="4"/>
        <v>0</v>
      </c>
      <c r="V234" s="15">
        <f t="shared" si="5"/>
        <v>1</v>
      </c>
      <c r="W234" s="15">
        <v>1.0</v>
      </c>
      <c r="X234" s="20">
        <f t="shared" si="6"/>
        <v>1</v>
      </c>
      <c r="Y234" s="15">
        <f t="shared" ref="Y234:Z234" si="472">AE234-W234</f>
        <v>0</v>
      </c>
      <c r="Z234" s="20">
        <f t="shared" si="472"/>
        <v>0</v>
      </c>
      <c r="AA234" s="15">
        <v>1.0</v>
      </c>
      <c r="AB234" s="20">
        <f t="shared" si="8"/>
        <v>1</v>
      </c>
      <c r="AC234" s="15">
        <f t="shared" ref="AC234:AD234" si="473">AE234-AA234</f>
        <v>0</v>
      </c>
      <c r="AD234" s="20">
        <f t="shared" si="473"/>
        <v>0</v>
      </c>
      <c r="AE234" s="15">
        <v>1.0</v>
      </c>
      <c r="AF234" s="20">
        <f t="shared" si="10"/>
        <v>1</v>
      </c>
      <c r="AG234" s="15" t="e">
        <v>#N/A</v>
      </c>
      <c r="AH234" s="20" t="str">
        <f t="shared" si="11"/>
        <v>#N/A</v>
      </c>
      <c r="AI234" s="15">
        <v>1.0</v>
      </c>
      <c r="AJ234" s="15">
        <v>0.0</v>
      </c>
      <c r="AK234" s="21">
        <v>0.0</v>
      </c>
      <c r="AL234" s="22">
        <v>1.0</v>
      </c>
      <c r="AM234" s="15">
        <v>0.0</v>
      </c>
      <c r="AN234" s="15">
        <v>0.0</v>
      </c>
      <c r="AO234" s="23" t="s">
        <v>697</v>
      </c>
      <c r="AP234" s="23" t="s">
        <v>697</v>
      </c>
      <c r="AQ234" s="13" t="s">
        <v>65</v>
      </c>
      <c r="AR234" s="24" t="s">
        <v>66</v>
      </c>
      <c r="AS234" s="24"/>
      <c r="AT234" s="52" t="s">
        <v>801</v>
      </c>
      <c r="AU234" s="26" t="s">
        <v>253</v>
      </c>
      <c r="AV234" s="27"/>
      <c r="AW234" s="24" t="s">
        <v>133</v>
      </c>
      <c r="AX234" s="42">
        <v>46002.0</v>
      </c>
      <c r="AY234" s="29" t="s">
        <v>254</v>
      </c>
      <c r="AZ234" s="30"/>
      <c r="BA234" s="25" t="s">
        <v>802</v>
      </c>
      <c r="BB234" s="26" t="s">
        <v>72</v>
      </c>
      <c r="BC234" s="27"/>
      <c r="BD234" s="24" t="s">
        <v>112</v>
      </c>
      <c r="BE234" s="27"/>
      <c r="BF234" s="27"/>
      <c r="BG234" s="27"/>
      <c r="BH234" s="27"/>
    </row>
    <row r="235" ht="14.25" customHeight="1">
      <c r="A235" s="119" t="s">
        <v>803</v>
      </c>
      <c r="B235" s="119"/>
      <c r="C235" s="120"/>
      <c r="D235" s="14"/>
      <c r="E235" s="15"/>
      <c r="F235" s="15"/>
      <c r="G235" s="12"/>
      <c r="H235" s="16"/>
      <c r="I235" s="17">
        <v>0.0</v>
      </c>
      <c r="J235" s="18"/>
      <c r="K235" s="18"/>
      <c r="L235" s="18" t="s">
        <v>84</v>
      </c>
      <c r="M235" s="18" t="s">
        <v>84</v>
      </c>
      <c r="N235" s="18"/>
      <c r="O235" s="18" t="s">
        <v>84</v>
      </c>
      <c r="P235" s="18" t="s">
        <v>84</v>
      </c>
      <c r="Q235" s="18" t="s">
        <v>84</v>
      </c>
      <c r="R235" s="15">
        <f t="shared" si="3"/>
        <v>0</v>
      </c>
      <c r="S235" s="15">
        <v>8.0</v>
      </c>
      <c r="T235" s="15">
        <v>0.0</v>
      </c>
      <c r="U235" s="20">
        <f t="shared" si="4"/>
        <v>0</v>
      </c>
      <c r="V235" s="15">
        <f t="shared" si="5"/>
        <v>4</v>
      </c>
      <c r="W235" s="15">
        <v>0.0</v>
      </c>
      <c r="X235" s="20">
        <f t="shared" si="6"/>
        <v>0</v>
      </c>
      <c r="Y235" s="15">
        <f t="shared" ref="Y235:Z235" si="474">AE235-W235</f>
        <v>2</v>
      </c>
      <c r="Z235" s="20">
        <f t="shared" si="474"/>
        <v>0.25</v>
      </c>
      <c r="AA235" s="15">
        <v>0.0</v>
      </c>
      <c r="AB235" s="20">
        <f t="shared" si="8"/>
        <v>0</v>
      </c>
      <c r="AC235" s="15">
        <f t="shared" ref="AC235:AD235" si="475">AE235-AA235</f>
        <v>2</v>
      </c>
      <c r="AD235" s="20">
        <f t="shared" si="475"/>
        <v>0.25</v>
      </c>
      <c r="AE235" s="15">
        <v>2.0</v>
      </c>
      <c r="AF235" s="20">
        <f t="shared" si="10"/>
        <v>0.25</v>
      </c>
      <c r="AG235" s="15" t="e">
        <v>#N/A</v>
      </c>
      <c r="AH235" s="20" t="str">
        <f t="shared" si="11"/>
        <v>#N/A</v>
      </c>
      <c r="AI235" s="15">
        <v>4.0</v>
      </c>
      <c r="AJ235" s="15">
        <v>0.0</v>
      </c>
      <c r="AK235" s="21">
        <v>0.0</v>
      </c>
      <c r="AL235" s="22">
        <v>0.5</v>
      </c>
      <c r="AM235" s="15">
        <v>0.0</v>
      </c>
      <c r="AN235" s="15">
        <v>4.0</v>
      </c>
      <c r="AO235" s="23" t="s">
        <v>697</v>
      </c>
      <c r="AP235" s="23" t="s">
        <v>697</v>
      </c>
      <c r="AQ235" s="13" t="s">
        <v>104</v>
      </c>
      <c r="AR235" s="24" t="s">
        <v>130</v>
      </c>
      <c r="AS235" s="24"/>
      <c r="AT235" s="25" t="s">
        <v>804</v>
      </c>
      <c r="AU235" s="26" t="s">
        <v>106</v>
      </c>
      <c r="AV235" s="27"/>
      <c r="AW235" s="24"/>
      <c r="AX235" s="28"/>
      <c r="AY235" s="29" t="s">
        <v>89</v>
      </c>
      <c r="AZ235" s="29"/>
      <c r="BA235" s="28"/>
      <c r="BB235" s="26" t="s">
        <v>90</v>
      </c>
      <c r="BC235" s="27"/>
      <c r="BD235" s="34" t="s">
        <v>91</v>
      </c>
      <c r="BE235" s="34"/>
      <c r="BF235" s="27"/>
      <c r="BG235" s="27"/>
      <c r="BH235" s="27"/>
    </row>
    <row r="236" ht="14.25" customHeight="1">
      <c r="A236" s="119" t="s">
        <v>805</v>
      </c>
      <c r="B236" s="119"/>
      <c r="C236" s="120"/>
      <c r="D236" s="14"/>
      <c r="E236" s="15"/>
      <c r="F236" s="15"/>
      <c r="G236" s="12"/>
      <c r="H236" s="16"/>
      <c r="I236" s="17">
        <v>0.125</v>
      </c>
      <c r="J236" s="18"/>
      <c r="K236" s="18" t="s">
        <v>62</v>
      </c>
      <c r="L236" s="18" t="s">
        <v>76</v>
      </c>
      <c r="M236" s="18" t="s">
        <v>264</v>
      </c>
      <c r="N236" s="18"/>
      <c r="O236" s="18" t="s">
        <v>84</v>
      </c>
      <c r="P236" s="18" t="s">
        <v>84</v>
      </c>
      <c r="Q236" s="18" t="s">
        <v>86</v>
      </c>
      <c r="R236" s="15">
        <f t="shared" si="3"/>
        <v>0</v>
      </c>
      <c r="S236" s="15">
        <v>14.0</v>
      </c>
      <c r="T236" s="15">
        <v>0.0</v>
      </c>
      <c r="U236" s="20">
        <f t="shared" si="4"/>
        <v>0</v>
      </c>
      <c r="V236" s="15">
        <f t="shared" si="5"/>
        <v>5</v>
      </c>
      <c r="W236" s="15">
        <v>0.0</v>
      </c>
      <c r="X236" s="20">
        <f t="shared" si="6"/>
        <v>0</v>
      </c>
      <c r="Y236" s="15">
        <f t="shared" ref="Y236:Z236" si="476">AE236-W236</f>
        <v>5</v>
      </c>
      <c r="Z236" s="20">
        <f t="shared" si="476"/>
        <v>0.3571428571</v>
      </c>
      <c r="AA236" s="15">
        <v>0.0</v>
      </c>
      <c r="AB236" s="20">
        <f t="shared" si="8"/>
        <v>0</v>
      </c>
      <c r="AC236" s="15">
        <f t="shared" ref="AC236:AD236" si="477">AE236-AA236</f>
        <v>5</v>
      </c>
      <c r="AD236" s="20">
        <f t="shared" si="477"/>
        <v>0.3571428571</v>
      </c>
      <c r="AE236" s="15">
        <v>5.0</v>
      </c>
      <c r="AF236" s="20">
        <f t="shared" si="10"/>
        <v>0.3571428571</v>
      </c>
      <c r="AG236" s="15" t="e">
        <v>#N/A</v>
      </c>
      <c r="AH236" s="20" t="str">
        <f t="shared" si="11"/>
        <v>#N/A</v>
      </c>
      <c r="AI236" s="15">
        <v>5.0</v>
      </c>
      <c r="AJ236" s="15">
        <v>0.0</v>
      </c>
      <c r="AK236" s="21">
        <v>0.0</v>
      </c>
      <c r="AL236" s="22">
        <v>0.357142857142857</v>
      </c>
      <c r="AM236" s="15">
        <v>9.0</v>
      </c>
      <c r="AN236" s="15">
        <v>9.0</v>
      </c>
      <c r="AO236" s="23" t="s">
        <v>697</v>
      </c>
      <c r="AP236" s="23" t="s">
        <v>806</v>
      </c>
      <c r="AQ236" s="13" t="s">
        <v>93</v>
      </c>
      <c r="AR236" s="24" t="s">
        <v>66</v>
      </c>
      <c r="AS236" s="24"/>
      <c r="AT236" s="25" t="s">
        <v>807</v>
      </c>
      <c r="AU236" s="26" t="s">
        <v>68</v>
      </c>
      <c r="AV236" s="27"/>
      <c r="AW236" s="24" t="s">
        <v>69</v>
      </c>
      <c r="AX236" s="28"/>
      <c r="AY236" s="29" t="s">
        <v>89</v>
      </c>
      <c r="AZ236" s="29"/>
      <c r="BA236" s="28"/>
      <c r="BB236" s="26" t="s">
        <v>90</v>
      </c>
      <c r="BC236" s="27"/>
      <c r="BD236" s="34" t="s">
        <v>91</v>
      </c>
      <c r="BE236" s="34"/>
      <c r="BF236" s="27"/>
      <c r="BG236" s="27"/>
      <c r="BH236" s="27"/>
    </row>
    <row r="237" ht="14.25" customHeight="1">
      <c r="A237" s="119" t="s">
        <v>808</v>
      </c>
      <c r="B237" s="119"/>
      <c r="C237" s="120"/>
      <c r="D237" s="14"/>
      <c r="E237" s="15"/>
      <c r="F237" s="19"/>
      <c r="G237" s="39"/>
      <c r="H237" s="18"/>
      <c r="I237" s="17">
        <v>0.0</v>
      </c>
      <c r="J237" s="18"/>
      <c r="K237" s="18"/>
      <c r="L237" s="18" t="s">
        <v>84</v>
      </c>
      <c r="M237" s="18" t="s">
        <v>84</v>
      </c>
      <c r="N237" s="18"/>
      <c r="O237" s="18" t="s">
        <v>60</v>
      </c>
      <c r="P237" s="18" t="s">
        <v>60</v>
      </c>
      <c r="Q237" s="19" t="s">
        <v>60</v>
      </c>
      <c r="R237" s="15">
        <f t="shared" si="3"/>
        <v>0</v>
      </c>
      <c r="S237" s="15">
        <v>3.0</v>
      </c>
      <c r="T237" s="15">
        <v>0.0</v>
      </c>
      <c r="U237" s="20">
        <f t="shared" si="4"/>
        <v>0</v>
      </c>
      <c r="V237" s="15">
        <f t="shared" si="5"/>
        <v>3</v>
      </c>
      <c r="W237" s="15">
        <v>3.0</v>
      </c>
      <c r="X237" s="20">
        <f t="shared" si="6"/>
        <v>1</v>
      </c>
      <c r="Y237" s="15">
        <f t="shared" ref="Y237:Z237" si="478">AE237-W237</f>
        <v>0</v>
      </c>
      <c r="Z237" s="20">
        <f t="shared" si="478"/>
        <v>0</v>
      </c>
      <c r="AA237" s="15">
        <v>3.0</v>
      </c>
      <c r="AB237" s="20">
        <f t="shared" si="8"/>
        <v>1</v>
      </c>
      <c r="AC237" s="15">
        <f t="shared" ref="AC237:AD237" si="479">AE237-AA237</f>
        <v>0</v>
      </c>
      <c r="AD237" s="20">
        <f t="shared" si="479"/>
        <v>0</v>
      </c>
      <c r="AE237" s="15">
        <v>3.0</v>
      </c>
      <c r="AF237" s="20">
        <f t="shared" si="10"/>
        <v>1</v>
      </c>
      <c r="AG237" s="15" t="e">
        <v>#N/A</v>
      </c>
      <c r="AH237" s="20" t="str">
        <f t="shared" si="11"/>
        <v>#N/A</v>
      </c>
      <c r="AI237" s="15">
        <v>3.0</v>
      </c>
      <c r="AJ237" s="15">
        <v>0.0</v>
      </c>
      <c r="AK237" s="21">
        <v>0.0</v>
      </c>
      <c r="AL237" s="22">
        <v>1.0</v>
      </c>
      <c r="AM237" s="15">
        <v>0.0</v>
      </c>
      <c r="AN237" s="15">
        <v>0.0</v>
      </c>
      <c r="AO237" s="23" t="s">
        <v>697</v>
      </c>
      <c r="AP237" s="23" t="s">
        <v>697</v>
      </c>
      <c r="AQ237" s="13" t="s">
        <v>108</v>
      </c>
      <c r="AR237" s="24" t="s">
        <v>66</v>
      </c>
      <c r="AS237" s="24"/>
      <c r="AT237" s="25" t="s">
        <v>809</v>
      </c>
      <c r="AU237" s="26" t="s">
        <v>68</v>
      </c>
      <c r="AV237" s="27"/>
      <c r="AW237" s="24" t="s">
        <v>100</v>
      </c>
      <c r="AX237" s="28"/>
      <c r="AY237" s="29" t="s">
        <v>70</v>
      </c>
      <c r="AZ237" s="32"/>
      <c r="BA237" s="25" t="s">
        <v>810</v>
      </c>
      <c r="BB237" s="26" t="s">
        <v>72</v>
      </c>
      <c r="BC237" s="27"/>
      <c r="BD237" s="24" t="s">
        <v>112</v>
      </c>
      <c r="BE237" s="27"/>
      <c r="BF237" s="27"/>
      <c r="BG237" s="27"/>
      <c r="BH237" s="27"/>
    </row>
    <row r="238" ht="14.25" customHeight="1">
      <c r="A238" s="12" t="s">
        <v>811</v>
      </c>
      <c r="B238" s="12"/>
      <c r="C238" s="13"/>
      <c r="D238" s="14"/>
      <c r="E238" s="15"/>
      <c r="F238" s="19"/>
      <c r="G238" s="39"/>
      <c r="H238" s="18"/>
      <c r="I238" s="17">
        <v>0.0</v>
      </c>
      <c r="J238" s="18"/>
      <c r="K238" s="18"/>
      <c r="L238" s="18" t="s">
        <v>84</v>
      </c>
      <c r="M238" s="18" t="s">
        <v>84</v>
      </c>
      <c r="N238" s="18"/>
      <c r="O238" s="18" t="s">
        <v>84</v>
      </c>
      <c r="P238" s="18" t="s">
        <v>84</v>
      </c>
      <c r="Q238" s="19" t="s">
        <v>60</v>
      </c>
      <c r="R238" s="15">
        <f t="shared" si="3"/>
        <v>0</v>
      </c>
      <c r="S238" s="15">
        <v>22.0</v>
      </c>
      <c r="T238" s="15">
        <v>0.0</v>
      </c>
      <c r="U238" s="20">
        <f t="shared" si="4"/>
        <v>0</v>
      </c>
      <c r="V238" s="15">
        <f t="shared" si="5"/>
        <v>12</v>
      </c>
      <c r="W238" s="15">
        <v>0.0</v>
      </c>
      <c r="X238" s="20">
        <f t="shared" si="6"/>
        <v>0</v>
      </c>
      <c r="Y238" s="15">
        <f t="shared" ref="Y238:Z238" si="480">AE238-W238</f>
        <v>12</v>
      </c>
      <c r="Z238" s="20">
        <f t="shared" si="480"/>
        <v>0.5454545455</v>
      </c>
      <c r="AA238" s="15">
        <v>12.0</v>
      </c>
      <c r="AB238" s="20">
        <f t="shared" si="8"/>
        <v>0.5454545455</v>
      </c>
      <c r="AC238" s="15">
        <f t="shared" ref="AC238:AD238" si="481">AE238-AA238</f>
        <v>0</v>
      </c>
      <c r="AD238" s="20">
        <f t="shared" si="481"/>
        <v>0</v>
      </c>
      <c r="AE238" s="15">
        <v>12.0</v>
      </c>
      <c r="AF238" s="20">
        <f t="shared" si="10"/>
        <v>0.5454545455</v>
      </c>
      <c r="AG238" s="15" t="e">
        <v>#N/A</v>
      </c>
      <c r="AH238" s="20" t="str">
        <f t="shared" si="11"/>
        <v>#N/A</v>
      </c>
      <c r="AI238" s="15">
        <v>12.0</v>
      </c>
      <c r="AJ238" s="15">
        <v>0.0</v>
      </c>
      <c r="AK238" s="21">
        <v>0.0</v>
      </c>
      <c r="AL238" s="22">
        <v>0.545454545454545</v>
      </c>
      <c r="AM238" s="15">
        <v>10.0</v>
      </c>
      <c r="AN238" s="15">
        <v>10.0</v>
      </c>
      <c r="AO238" s="23" t="s">
        <v>697</v>
      </c>
      <c r="AP238" s="23" t="s">
        <v>697</v>
      </c>
      <c r="AQ238" s="13" t="s">
        <v>93</v>
      </c>
      <c r="AR238" s="24" t="s">
        <v>66</v>
      </c>
      <c r="AS238" s="24"/>
      <c r="AT238" s="25" t="s">
        <v>812</v>
      </c>
      <c r="AU238" s="26" t="s">
        <v>68</v>
      </c>
      <c r="AV238" s="27"/>
      <c r="AW238" s="24" t="s">
        <v>100</v>
      </c>
      <c r="AX238" s="27"/>
      <c r="AY238" s="29" t="s">
        <v>89</v>
      </c>
      <c r="AZ238" s="29"/>
      <c r="BA238" s="28"/>
      <c r="BB238" s="26" t="s">
        <v>90</v>
      </c>
      <c r="BC238" s="27"/>
      <c r="BD238" s="34" t="s">
        <v>91</v>
      </c>
      <c r="BE238" s="34"/>
      <c r="BF238" s="27"/>
      <c r="BG238" s="27"/>
      <c r="BH238" s="27"/>
    </row>
    <row r="239" ht="14.25" customHeight="1">
      <c r="A239" s="119" t="s">
        <v>813</v>
      </c>
      <c r="B239" s="119"/>
      <c r="C239" s="120"/>
      <c r="D239" s="14"/>
      <c r="E239" s="15"/>
      <c r="F239" s="15"/>
      <c r="G239" s="12"/>
      <c r="H239" s="16"/>
      <c r="I239" s="17">
        <v>0.0</v>
      </c>
      <c r="J239" s="18"/>
      <c r="K239" s="18"/>
      <c r="L239" s="18" t="s">
        <v>84</v>
      </c>
      <c r="M239" s="18" t="s">
        <v>84</v>
      </c>
      <c r="N239" s="18"/>
      <c r="O239" s="18" t="s">
        <v>84</v>
      </c>
      <c r="P239" s="18" t="s">
        <v>84</v>
      </c>
      <c r="Q239" s="18" t="s">
        <v>86</v>
      </c>
      <c r="R239" s="15">
        <f t="shared" si="3"/>
        <v>0</v>
      </c>
      <c r="S239" s="15">
        <v>7.0</v>
      </c>
      <c r="T239" s="15">
        <v>0.0</v>
      </c>
      <c r="U239" s="20">
        <f t="shared" si="4"/>
        <v>0</v>
      </c>
      <c r="V239" s="15">
        <f t="shared" si="5"/>
        <v>7</v>
      </c>
      <c r="W239" s="15">
        <v>0.0</v>
      </c>
      <c r="X239" s="20">
        <f t="shared" si="6"/>
        <v>0</v>
      </c>
      <c r="Y239" s="15">
        <f t="shared" ref="Y239:Z239" si="482">AE239-W239</f>
        <v>7</v>
      </c>
      <c r="Z239" s="20">
        <f t="shared" si="482"/>
        <v>1</v>
      </c>
      <c r="AA239" s="15">
        <v>0.0</v>
      </c>
      <c r="AB239" s="20">
        <f t="shared" si="8"/>
        <v>0</v>
      </c>
      <c r="AC239" s="15">
        <f t="shared" ref="AC239:AD239" si="483">AE239-AA239</f>
        <v>7</v>
      </c>
      <c r="AD239" s="20">
        <f t="shared" si="483"/>
        <v>1</v>
      </c>
      <c r="AE239" s="15">
        <v>7.0</v>
      </c>
      <c r="AF239" s="20">
        <f t="shared" si="10"/>
        <v>1</v>
      </c>
      <c r="AG239" s="15" t="e">
        <v>#N/A</v>
      </c>
      <c r="AH239" s="20" t="str">
        <f t="shared" si="11"/>
        <v>#N/A</v>
      </c>
      <c r="AI239" s="15">
        <v>7.0</v>
      </c>
      <c r="AJ239" s="15">
        <v>0.0</v>
      </c>
      <c r="AK239" s="21">
        <v>0.0</v>
      </c>
      <c r="AL239" s="22">
        <v>1.0</v>
      </c>
      <c r="AM239" s="15">
        <v>0.0</v>
      </c>
      <c r="AN239" s="15">
        <v>0.0</v>
      </c>
      <c r="AO239" s="23" t="s">
        <v>697</v>
      </c>
      <c r="AP239" s="23" t="s">
        <v>697</v>
      </c>
      <c r="AQ239" s="13" t="s">
        <v>108</v>
      </c>
      <c r="AR239" s="24" t="s">
        <v>66</v>
      </c>
      <c r="AS239" s="24"/>
      <c r="AT239" s="25" t="s">
        <v>814</v>
      </c>
      <c r="AU239" s="26" t="s">
        <v>68</v>
      </c>
      <c r="AV239" s="27"/>
      <c r="AW239" s="24" t="s">
        <v>69</v>
      </c>
      <c r="AX239" s="27"/>
      <c r="AY239" s="29" t="s">
        <v>89</v>
      </c>
      <c r="AZ239" s="29"/>
      <c r="BA239" s="28"/>
      <c r="BB239" s="26" t="s">
        <v>90</v>
      </c>
      <c r="BC239" s="27"/>
      <c r="BD239" s="34" t="s">
        <v>91</v>
      </c>
      <c r="BE239" s="34"/>
      <c r="BF239" s="27"/>
      <c r="BG239" s="27"/>
      <c r="BH239" s="27"/>
    </row>
    <row r="240" ht="15.0" customHeight="1">
      <c r="A240" s="119" t="s">
        <v>815</v>
      </c>
      <c r="B240" s="119"/>
      <c r="C240" s="120"/>
      <c r="D240" s="14"/>
      <c r="E240" s="15"/>
      <c r="F240" s="15"/>
      <c r="G240" s="12"/>
      <c r="H240" s="16"/>
      <c r="I240" s="17">
        <v>0.0</v>
      </c>
      <c r="J240" s="18"/>
      <c r="K240" s="18"/>
      <c r="L240" s="18" t="s">
        <v>84</v>
      </c>
      <c r="M240" s="18" t="s">
        <v>84</v>
      </c>
      <c r="N240" s="18"/>
      <c r="O240" s="18" t="s">
        <v>60</v>
      </c>
      <c r="P240" s="18" t="s">
        <v>60</v>
      </c>
      <c r="Q240" s="19" t="s">
        <v>60</v>
      </c>
      <c r="R240" s="15">
        <f t="shared" si="3"/>
        <v>0</v>
      </c>
      <c r="S240" s="15">
        <v>1.0</v>
      </c>
      <c r="T240" s="15">
        <v>0.0</v>
      </c>
      <c r="U240" s="20">
        <f t="shared" si="4"/>
        <v>0</v>
      </c>
      <c r="V240" s="15">
        <f t="shared" si="5"/>
        <v>1</v>
      </c>
      <c r="W240" s="15">
        <v>1.0</v>
      </c>
      <c r="X240" s="20">
        <f t="shared" si="6"/>
        <v>1</v>
      </c>
      <c r="Y240" s="15">
        <f t="shared" ref="Y240:Z240" si="484">AE240-W240</f>
        <v>0</v>
      </c>
      <c r="Z240" s="20">
        <f t="shared" si="484"/>
        <v>0</v>
      </c>
      <c r="AA240" s="15">
        <v>1.0</v>
      </c>
      <c r="AB240" s="20">
        <f t="shared" si="8"/>
        <v>1</v>
      </c>
      <c r="AC240" s="15">
        <f t="shared" ref="AC240:AD240" si="485">AE240-AA240</f>
        <v>0</v>
      </c>
      <c r="AD240" s="20">
        <f t="shared" si="485"/>
        <v>0</v>
      </c>
      <c r="AE240" s="15">
        <v>1.0</v>
      </c>
      <c r="AF240" s="20">
        <f t="shared" si="10"/>
        <v>1</v>
      </c>
      <c r="AG240" s="15" t="e">
        <v>#N/A</v>
      </c>
      <c r="AH240" s="20" t="str">
        <f t="shared" si="11"/>
        <v>#N/A</v>
      </c>
      <c r="AI240" s="15">
        <v>1.0</v>
      </c>
      <c r="AJ240" s="15">
        <v>0.0</v>
      </c>
      <c r="AK240" s="21">
        <v>0.0</v>
      </c>
      <c r="AL240" s="22">
        <v>1.0</v>
      </c>
      <c r="AM240" s="15">
        <v>0.0</v>
      </c>
      <c r="AN240" s="15">
        <v>0.0</v>
      </c>
      <c r="AO240" s="23" t="s">
        <v>697</v>
      </c>
      <c r="AP240" s="23" t="s">
        <v>697</v>
      </c>
      <c r="AQ240" s="13" t="s">
        <v>77</v>
      </c>
      <c r="AR240" s="24" t="s">
        <v>66</v>
      </c>
      <c r="AS240" s="24"/>
      <c r="AT240" s="25" t="s">
        <v>816</v>
      </c>
      <c r="AU240" s="26" t="s">
        <v>68</v>
      </c>
      <c r="AV240" s="36"/>
      <c r="AW240" s="24" t="s">
        <v>100</v>
      </c>
      <c r="AX240" s="28"/>
      <c r="AY240" s="29" t="s">
        <v>70</v>
      </c>
      <c r="AZ240" s="30"/>
      <c r="BA240" s="25" t="s">
        <v>817</v>
      </c>
      <c r="BB240" s="26" t="s">
        <v>72</v>
      </c>
      <c r="BC240" s="27"/>
      <c r="BD240" s="24" t="s">
        <v>112</v>
      </c>
      <c r="BE240" s="27"/>
      <c r="BF240" s="27"/>
      <c r="BG240" s="27"/>
      <c r="BH240" s="27"/>
    </row>
    <row r="241" ht="14.25" customHeight="1">
      <c r="A241" s="12" t="s">
        <v>818</v>
      </c>
      <c r="B241" s="12"/>
      <c r="C241" s="13"/>
      <c r="D241" s="14"/>
      <c r="E241" s="15"/>
      <c r="F241" s="15"/>
      <c r="G241" s="12"/>
      <c r="H241" s="16"/>
      <c r="I241" s="17">
        <v>0.0556</v>
      </c>
      <c r="J241" s="18"/>
      <c r="K241" s="18" t="s">
        <v>62</v>
      </c>
      <c r="L241" s="18" t="s">
        <v>62</v>
      </c>
      <c r="M241" s="18" t="s">
        <v>62</v>
      </c>
      <c r="N241" s="18"/>
      <c r="O241" s="18" t="s">
        <v>60</v>
      </c>
      <c r="P241" s="18" t="s">
        <v>60</v>
      </c>
      <c r="Q241" s="19" t="s">
        <v>60</v>
      </c>
      <c r="R241" s="15">
        <f t="shared" si="3"/>
        <v>0</v>
      </c>
      <c r="S241" s="15">
        <v>23.0</v>
      </c>
      <c r="T241" s="15">
        <v>2.0</v>
      </c>
      <c r="U241" s="20">
        <f t="shared" si="4"/>
        <v>0.08695652174</v>
      </c>
      <c r="V241" s="15">
        <f t="shared" si="5"/>
        <v>21</v>
      </c>
      <c r="W241" s="15">
        <v>23.0</v>
      </c>
      <c r="X241" s="20">
        <f t="shared" si="6"/>
        <v>1</v>
      </c>
      <c r="Y241" s="15">
        <f t="shared" ref="Y241:Z241" si="486">AE241-W241</f>
        <v>0</v>
      </c>
      <c r="Z241" s="20">
        <f t="shared" si="486"/>
        <v>0</v>
      </c>
      <c r="AA241" s="15">
        <v>23.0</v>
      </c>
      <c r="AB241" s="20">
        <f t="shared" si="8"/>
        <v>1</v>
      </c>
      <c r="AC241" s="15">
        <f t="shared" ref="AC241:AD241" si="487">AE241-AA241</f>
        <v>0</v>
      </c>
      <c r="AD241" s="20">
        <f t="shared" si="487"/>
        <v>0</v>
      </c>
      <c r="AE241" s="15">
        <v>23.0</v>
      </c>
      <c r="AF241" s="20">
        <f t="shared" si="10"/>
        <v>1</v>
      </c>
      <c r="AG241" s="15" t="e">
        <v>#N/A</v>
      </c>
      <c r="AH241" s="20" t="str">
        <f t="shared" si="11"/>
        <v>#N/A</v>
      </c>
      <c r="AI241" s="15">
        <v>23.0</v>
      </c>
      <c r="AJ241" s="15">
        <v>0.0</v>
      </c>
      <c r="AK241" s="21">
        <v>0.0</v>
      </c>
      <c r="AL241" s="22">
        <v>1.0</v>
      </c>
      <c r="AM241" s="15">
        <v>0.0</v>
      </c>
      <c r="AN241" s="15">
        <v>0.0</v>
      </c>
      <c r="AO241" s="23" t="s">
        <v>697</v>
      </c>
      <c r="AP241" s="23" t="s">
        <v>697</v>
      </c>
      <c r="AQ241" s="13" t="s">
        <v>65</v>
      </c>
      <c r="AR241" s="24" t="s">
        <v>66</v>
      </c>
      <c r="AS241" s="24"/>
      <c r="AT241" s="25" t="s">
        <v>819</v>
      </c>
      <c r="AU241" s="26" t="s">
        <v>68</v>
      </c>
      <c r="AV241" s="36"/>
      <c r="AW241" s="24" t="s">
        <v>79</v>
      </c>
      <c r="AX241" s="28"/>
      <c r="AY241" s="29" t="s">
        <v>70</v>
      </c>
      <c r="AZ241" s="32"/>
      <c r="BA241" s="25" t="s">
        <v>820</v>
      </c>
      <c r="BB241" s="26" t="s">
        <v>72</v>
      </c>
      <c r="BC241" s="27"/>
      <c r="BD241" s="24" t="s">
        <v>96</v>
      </c>
      <c r="BE241" s="27"/>
      <c r="BF241" s="27"/>
      <c r="BG241" s="27"/>
      <c r="BH241" s="27"/>
    </row>
    <row r="242" ht="14.25" customHeight="1">
      <c r="A242" s="12" t="s">
        <v>821</v>
      </c>
      <c r="B242" s="12"/>
      <c r="C242" s="13"/>
      <c r="D242" s="14"/>
      <c r="E242" s="15"/>
      <c r="F242" s="15"/>
      <c r="G242" s="12"/>
      <c r="H242" s="16"/>
      <c r="I242" s="17">
        <v>0.95</v>
      </c>
      <c r="J242" s="18"/>
      <c r="K242" s="18" t="s">
        <v>62</v>
      </c>
      <c r="L242" s="18" t="s">
        <v>61</v>
      </c>
      <c r="M242" s="18" t="s">
        <v>62</v>
      </c>
      <c r="N242" s="18"/>
      <c r="O242" s="18" t="s">
        <v>60</v>
      </c>
      <c r="P242" s="18" t="s">
        <v>60</v>
      </c>
      <c r="Q242" s="19" t="s">
        <v>60</v>
      </c>
      <c r="R242" s="15">
        <f t="shared" si="3"/>
        <v>0</v>
      </c>
      <c r="S242" s="15">
        <v>16.0</v>
      </c>
      <c r="T242" s="15">
        <v>15.0</v>
      </c>
      <c r="U242" s="20">
        <f t="shared" si="4"/>
        <v>0.9375</v>
      </c>
      <c r="V242" s="15">
        <f t="shared" si="5"/>
        <v>0</v>
      </c>
      <c r="W242" s="15">
        <v>15.0</v>
      </c>
      <c r="X242" s="20">
        <f t="shared" si="6"/>
        <v>0.9375</v>
      </c>
      <c r="Y242" s="15">
        <f t="shared" ref="Y242:Z242" si="488">AE242-W242</f>
        <v>0</v>
      </c>
      <c r="Z242" s="20">
        <f t="shared" si="488"/>
        <v>0</v>
      </c>
      <c r="AA242" s="15">
        <v>15.0</v>
      </c>
      <c r="AB242" s="20">
        <f t="shared" si="8"/>
        <v>0.9375</v>
      </c>
      <c r="AC242" s="15">
        <f t="shared" ref="AC242:AD242" si="489">AE242-AA242</f>
        <v>0</v>
      </c>
      <c r="AD242" s="20">
        <f t="shared" si="489"/>
        <v>0</v>
      </c>
      <c r="AE242" s="15">
        <v>15.0</v>
      </c>
      <c r="AF242" s="20">
        <f t="shared" si="10"/>
        <v>0.9375</v>
      </c>
      <c r="AG242" s="15" t="e">
        <v>#N/A</v>
      </c>
      <c r="AH242" s="20" t="str">
        <f t="shared" si="11"/>
        <v>#N/A</v>
      </c>
      <c r="AI242" s="15">
        <v>15.0</v>
      </c>
      <c r="AJ242" s="15">
        <v>0.0</v>
      </c>
      <c r="AK242" s="21">
        <v>0.0</v>
      </c>
      <c r="AL242" s="22">
        <v>0.9375</v>
      </c>
      <c r="AM242" s="15">
        <v>0.0</v>
      </c>
      <c r="AN242" s="15">
        <v>1.0</v>
      </c>
      <c r="AO242" s="23" t="s">
        <v>697</v>
      </c>
      <c r="AP242" s="23" t="s">
        <v>697</v>
      </c>
      <c r="AQ242" s="13" t="s">
        <v>65</v>
      </c>
      <c r="AR242" s="24" t="s">
        <v>130</v>
      </c>
      <c r="AS242" s="24"/>
      <c r="AT242" s="25" t="s">
        <v>822</v>
      </c>
      <c r="AU242" s="26" t="s">
        <v>68</v>
      </c>
      <c r="AV242" s="27"/>
      <c r="AW242" s="24" t="s">
        <v>100</v>
      </c>
      <c r="AX242" s="28"/>
      <c r="AY242" s="29" t="s">
        <v>70</v>
      </c>
      <c r="AZ242" s="30"/>
      <c r="BA242" s="25" t="s">
        <v>823</v>
      </c>
      <c r="BB242" s="26" t="s">
        <v>118</v>
      </c>
      <c r="BC242" s="24"/>
      <c r="BD242" s="24"/>
      <c r="BE242" s="27"/>
      <c r="BF242" s="27"/>
      <c r="BG242" s="27"/>
      <c r="BH242" s="27"/>
    </row>
    <row r="243" ht="14.25" customHeight="1">
      <c r="A243" s="119" t="s">
        <v>824</v>
      </c>
      <c r="B243" s="119"/>
      <c r="C243" s="120"/>
      <c r="D243" s="14"/>
      <c r="E243" s="15"/>
      <c r="F243" s="19"/>
      <c r="G243" s="39"/>
      <c r="H243" s="18"/>
      <c r="I243" s="17">
        <v>0.0</v>
      </c>
      <c r="J243" s="18"/>
      <c r="K243" s="18"/>
      <c r="L243" s="18" t="s">
        <v>84</v>
      </c>
      <c r="M243" s="18" t="s">
        <v>84</v>
      </c>
      <c r="N243" s="18"/>
      <c r="O243" s="18" t="s">
        <v>60</v>
      </c>
      <c r="P243" s="18" t="s">
        <v>60</v>
      </c>
      <c r="Q243" s="19" t="s">
        <v>60</v>
      </c>
      <c r="R243" s="15">
        <f t="shared" si="3"/>
        <v>0</v>
      </c>
      <c r="S243" s="15">
        <v>4.0</v>
      </c>
      <c r="T243" s="15">
        <v>0.0</v>
      </c>
      <c r="U243" s="20">
        <f t="shared" si="4"/>
        <v>0</v>
      </c>
      <c r="V243" s="15">
        <f t="shared" si="5"/>
        <v>1</v>
      </c>
      <c r="W243" s="15">
        <v>1.0</v>
      </c>
      <c r="X243" s="20">
        <f t="shared" si="6"/>
        <v>0.25</v>
      </c>
      <c r="Y243" s="15">
        <f t="shared" ref="Y243:Z243" si="490">AE243-W243</f>
        <v>0</v>
      </c>
      <c r="Z243" s="20">
        <f t="shared" si="490"/>
        <v>0</v>
      </c>
      <c r="AA243" s="15">
        <v>1.0</v>
      </c>
      <c r="AB243" s="20">
        <f t="shared" si="8"/>
        <v>0.25</v>
      </c>
      <c r="AC243" s="15">
        <f t="shared" ref="AC243:AD243" si="491">AE243-AA243</f>
        <v>0</v>
      </c>
      <c r="AD243" s="20">
        <f t="shared" si="491"/>
        <v>0</v>
      </c>
      <c r="AE243" s="15">
        <v>1.0</v>
      </c>
      <c r="AF243" s="20">
        <f t="shared" si="10"/>
        <v>0.25</v>
      </c>
      <c r="AG243" s="15" t="e">
        <v>#N/A</v>
      </c>
      <c r="AH243" s="20" t="str">
        <f t="shared" si="11"/>
        <v>#N/A</v>
      </c>
      <c r="AI243" s="15">
        <v>1.0</v>
      </c>
      <c r="AJ243" s="15">
        <v>0.0</v>
      </c>
      <c r="AK243" s="21">
        <v>0.0</v>
      </c>
      <c r="AL243" s="22">
        <v>0.25</v>
      </c>
      <c r="AM243" s="15">
        <v>0.0</v>
      </c>
      <c r="AN243" s="15">
        <v>3.0</v>
      </c>
      <c r="AO243" s="23" t="s">
        <v>697</v>
      </c>
      <c r="AP243" s="23" t="s">
        <v>697</v>
      </c>
      <c r="AQ243" s="13" t="s">
        <v>93</v>
      </c>
      <c r="AR243" s="24" t="s">
        <v>130</v>
      </c>
      <c r="AS243" s="24"/>
      <c r="AT243" s="25" t="s">
        <v>825</v>
      </c>
      <c r="AU243" s="26" t="s">
        <v>68</v>
      </c>
      <c r="AV243" s="27"/>
      <c r="AW243" s="24" t="s">
        <v>100</v>
      </c>
      <c r="AX243" s="28"/>
      <c r="AY243" s="29" t="s">
        <v>173</v>
      </c>
      <c r="AZ243" s="62"/>
      <c r="BA243" s="28"/>
      <c r="BB243" s="26"/>
      <c r="BC243" s="27"/>
      <c r="BD243" s="24"/>
      <c r="BE243" s="27"/>
      <c r="BF243" s="27"/>
      <c r="BG243" s="27"/>
      <c r="BH243" s="27"/>
    </row>
    <row r="244" ht="14.25" customHeight="1">
      <c r="A244" s="119" t="s">
        <v>826</v>
      </c>
      <c r="B244" s="119"/>
      <c r="C244" s="120"/>
      <c r="D244" s="14"/>
      <c r="E244" s="15"/>
      <c r="F244" s="19"/>
      <c r="G244" s="12"/>
      <c r="H244" s="18"/>
      <c r="I244" s="17">
        <v>0.0</v>
      </c>
      <c r="J244" s="18"/>
      <c r="K244" s="18"/>
      <c r="L244" s="18" t="s">
        <v>84</v>
      </c>
      <c r="M244" s="18" t="s">
        <v>84</v>
      </c>
      <c r="N244" s="18"/>
      <c r="O244" s="18" t="s">
        <v>84</v>
      </c>
      <c r="P244" s="18" t="s">
        <v>84</v>
      </c>
      <c r="Q244" s="19" t="s">
        <v>60</v>
      </c>
      <c r="R244" s="15">
        <f t="shared" si="3"/>
        <v>0</v>
      </c>
      <c r="S244" s="15">
        <v>1.0</v>
      </c>
      <c r="T244" s="15">
        <v>0.0</v>
      </c>
      <c r="U244" s="20">
        <f t="shared" si="4"/>
        <v>0</v>
      </c>
      <c r="V244" s="15">
        <f t="shared" si="5"/>
        <v>1</v>
      </c>
      <c r="W244" s="15">
        <v>0.0</v>
      </c>
      <c r="X244" s="20">
        <f t="shared" si="6"/>
        <v>0</v>
      </c>
      <c r="Y244" s="15">
        <f t="shared" ref="Y244:Z244" si="492">AE244-W244</f>
        <v>1</v>
      </c>
      <c r="Z244" s="20">
        <f t="shared" si="492"/>
        <v>1</v>
      </c>
      <c r="AA244" s="15">
        <v>1.0</v>
      </c>
      <c r="AB244" s="20">
        <f t="shared" si="8"/>
        <v>1</v>
      </c>
      <c r="AC244" s="15">
        <f t="shared" ref="AC244:AD244" si="493">AE244-AA244</f>
        <v>0</v>
      </c>
      <c r="AD244" s="20">
        <f t="shared" si="493"/>
        <v>0</v>
      </c>
      <c r="AE244" s="15">
        <v>1.0</v>
      </c>
      <c r="AF244" s="20">
        <f t="shared" si="10"/>
        <v>1</v>
      </c>
      <c r="AG244" s="15" t="e">
        <v>#N/A</v>
      </c>
      <c r="AH244" s="20" t="str">
        <f t="shared" si="11"/>
        <v>#N/A</v>
      </c>
      <c r="AI244" s="15">
        <v>1.0</v>
      </c>
      <c r="AJ244" s="15">
        <v>0.0</v>
      </c>
      <c r="AK244" s="21">
        <v>0.0</v>
      </c>
      <c r="AL244" s="22">
        <v>1.0</v>
      </c>
      <c r="AM244" s="15">
        <v>0.0</v>
      </c>
      <c r="AN244" s="15">
        <v>0.0</v>
      </c>
      <c r="AO244" s="23" t="s">
        <v>697</v>
      </c>
      <c r="AP244" s="23" t="s">
        <v>697</v>
      </c>
      <c r="AQ244" s="13" t="s">
        <v>65</v>
      </c>
      <c r="AR244" s="24" t="s">
        <v>66</v>
      </c>
      <c r="AS244" s="24"/>
      <c r="AT244" s="25" t="s">
        <v>827</v>
      </c>
      <c r="AU244" s="26" t="s">
        <v>68</v>
      </c>
      <c r="AV244" s="27"/>
      <c r="AW244" s="24" t="s">
        <v>69</v>
      </c>
      <c r="AX244" s="28"/>
      <c r="AY244" s="29" t="s">
        <v>89</v>
      </c>
      <c r="AZ244" s="29"/>
      <c r="BA244" s="28"/>
      <c r="BB244" s="26" t="s">
        <v>90</v>
      </c>
      <c r="BC244" s="27"/>
      <c r="BD244" s="34" t="s">
        <v>91</v>
      </c>
      <c r="BE244" s="34"/>
      <c r="BF244" s="27"/>
      <c r="BG244" s="27"/>
      <c r="BH244" s="27"/>
    </row>
    <row r="245" ht="14.25" customHeight="1">
      <c r="A245" s="119" t="s">
        <v>828</v>
      </c>
      <c r="B245" s="119"/>
      <c r="C245" s="120"/>
      <c r="D245" s="14"/>
      <c r="E245" s="15"/>
      <c r="F245" s="15"/>
      <c r="G245" s="12"/>
      <c r="H245" s="16"/>
      <c r="I245" s="17">
        <v>0.8333</v>
      </c>
      <c r="J245" s="18" t="s">
        <v>829</v>
      </c>
      <c r="K245" s="18" t="s">
        <v>830</v>
      </c>
      <c r="L245" s="18" t="s">
        <v>60</v>
      </c>
      <c r="M245" s="18" t="s">
        <v>60</v>
      </c>
      <c r="N245" s="18"/>
      <c r="O245" s="18" t="s">
        <v>60</v>
      </c>
      <c r="P245" s="18" t="s">
        <v>60</v>
      </c>
      <c r="Q245" s="19" t="s">
        <v>60</v>
      </c>
      <c r="R245" s="15">
        <f t="shared" si="3"/>
        <v>0</v>
      </c>
      <c r="S245" s="15">
        <v>15.0</v>
      </c>
      <c r="T245" s="15">
        <v>11.0</v>
      </c>
      <c r="U245" s="20">
        <f t="shared" si="4"/>
        <v>0.7333333333</v>
      </c>
      <c r="V245" s="15">
        <f t="shared" si="5"/>
        <v>-4</v>
      </c>
      <c r="W245" s="15">
        <v>11.0</v>
      </c>
      <c r="X245" s="20">
        <f t="shared" si="6"/>
        <v>0.7333333333</v>
      </c>
      <c r="Y245" s="15">
        <f t="shared" ref="Y245:Z245" si="494">AE245-W245</f>
        <v>0</v>
      </c>
      <c r="Z245" s="20">
        <f t="shared" si="494"/>
        <v>0</v>
      </c>
      <c r="AA245" s="15">
        <v>11.0</v>
      </c>
      <c r="AB245" s="20">
        <f t="shared" si="8"/>
        <v>0.7333333333</v>
      </c>
      <c r="AC245" s="15">
        <f t="shared" ref="AC245:AD245" si="495">AE245-AA245</f>
        <v>0</v>
      </c>
      <c r="AD245" s="20">
        <f t="shared" si="495"/>
        <v>0</v>
      </c>
      <c r="AE245" s="15">
        <v>11.0</v>
      </c>
      <c r="AF245" s="20">
        <f t="shared" si="10"/>
        <v>0.7333333333</v>
      </c>
      <c r="AG245" s="15" t="e">
        <v>#N/A</v>
      </c>
      <c r="AH245" s="20" t="str">
        <f t="shared" si="11"/>
        <v>#N/A</v>
      </c>
      <c r="AI245" s="15">
        <v>7.0</v>
      </c>
      <c r="AJ245" s="15">
        <v>4.0</v>
      </c>
      <c r="AK245" s="21">
        <v>0.0</v>
      </c>
      <c r="AL245" s="22">
        <v>0.733333333333333</v>
      </c>
      <c r="AM245" s="15">
        <v>8.0</v>
      </c>
      <c r="AN245" s="15">
        <v>4.0</v>
      </c>
      <c r="AO245" s="23" t="s">
        <v>697</v>
      </c>
      <c r="AP245" s="23" t="s">
        <v>697</v>
      </c>
      <c r="AQ245" s="13" t="s">
        <v>108</v>
      </c>
      <c r="AR245" s="24" t="s">
        <v>66</v>
      </c>
      <c r="AS245" s="24"/>
      <c r="AT245" s="25" t="s">
        <v>831</v>
      </c>
      <c r="AU245" s="26" t="s">
        <v>68</v>
      </c>
      <c r="AV245" s="27"/>
      <c r="AW245" s="24" t="s">
        <v>100</v>
      </c>
      <c r="AX245" s="28"/>
      <c r="AY245" s="29" t="s">
        <v>70</v>
      </c>
      <c r="AZ245" s="32"/>
      <c r="BA245" s="25" t="s">
        <v>832</v>
      </c>
      <c r="BB245" s="26" t="s">
        <v>72</v>
      </c>
      <c r="BC245" s="27"/>
      <c r="BD245" s="24" t="s">
        <v>73</v>
      </c>
      <c r="BE245" s="27"/>
      <c r="BF245" s="27"/>
      <c r="BG245" s="27"/>
      <c r="BH245" s="27"/>
    </row>
    <row r="246" ht="14.25" customHeight="1">
      <c r="A246" s="119" t="s">
        <v>833</v>
      </c>
      <c r="B246" s="119"/>
      <c r="C246" s="120"/>
      <c r="D246" s="14"/>
      <c r="E246" s="15"/>
      <c r="F246" s="15"/>
      <c r="G246" s="12"/>
      <c r="H246" s="16"/>
      <c r="I246" s="17">
        <v>1.0</v>
      </c>
      <c r="J246" s="18" t="s">
        <v>834</v>
      </c>
      <c r="K246" s="18" t="s">
        <v>151</v>
      </c>
      <c r="L246" s="18" t="s">
        <v>61</v>
      </c>
      <c r="M246" s="18" t="s">
        <v>60</v>
      </c>
      <c r="N246" s="18"/>
      <c r="O246" s="18" t="s">
        <v>60</v>
      </c>
      <c r="P246" s="18" t="s">
        <v>60</v>
      </c>
      <c r="Q246" s="19" t="s">
        <v>60</v>
      </c>
      <c r="R246" s="15">
        <f t="shared" si="3"/>
        <v>0</v>
      </c>
      <c r="S246" s="15">
        <v>1.0</v>
      </c>
      <c r="T246" s="15">
        <v>1.0</v>
      </c>
      <c r="U246" s="20">
        <f t="shared" si="4"/>
        <v>1</v>
      </c>
      <c r="V246" s="15">
        <f t="shared" si="5"/>
        <v>0</v>
      </c>
      <c r="W246" s="15">
        <v>1.0</v>
      </c>
      <c r="X246" s="20">
        <f t="shared" si="6"/>
        <v>1</v>
      </c>
      <c r="Y246" s="15">
        <f t="shared" ref="Y246:Z246" si="496">AE246-W246</f>
        <v>0</v>
      </c>
      <c r="Z246" s="20">
        <f t="shared" si="496"/>
        <v>0</v>
      </c>
      <c r="AA246" s="15">
        <v>1.0</v>
      </c>
      <c r="AB246" s="20">
        <f t="shared" si="8"/>
        <v>1</v>
      </c>
      <c r="AC246" s="15">
        <f t="shared" ref="AC246:AD246" si="497">AE246-AA246</f>
        <v>0</v>
      </c>
      <c r="AD246" s="20">
        <f t="shared" si="497"/>
        <v>0</v>
      </c>
      <c r="AE246" s="15">
        <v>1.0</v>
      </c>
      <c r="AF246" s="20">
        <f t="shared" si="10"/>
        <v>1</v>
      </c>
      <c r="AG246" s="15" t="e">
        <v>#N/A</v>
      </c>
      <c r="AH246" s="20" t="str">
        <f t="shared" si="11"/>
        <v>#N/A</v>
      </c>
      <c r="AI246" s="15">
        <v>1.0</v>
      </c>
      <c r="AJ246" s="15">
        <v>0.0</v>
      </c>
      <c r="AK246" s="21">
        <v>0.0</v>
      </c>
      <c r="AL246" s="22">
        <v>1.0</v>
      </c>
      <c r="AM246" s="15">
        <v>0.0</v>
      </c>
      <c r="AN246" s="15">
        <v>0.0</v>
      </c>
      <c r="AO246" s="23" t="s">
        <v>697</v>
      </c>
      <c r="AP246" s="23" t="s">
        <v>697</v>
      </c>
      <c r="AQ246" s="13" t="s">
        <v>93</v>
      </c>
      <c r="AR246" s="24" t="s">
        <v>66</v>
      </c>
      <c r="AS246" s="24"/>
      <c r="AT246" s="25" t="s">
        <v>835</v>
      </c>
      <c r="AU246" s="26" t="s">
        <v>68</v>
      </c>
      <c r="AV246" s="36"/>
      <c r="AW246" s="24" t="s">
        <v>69</v>
      </c>
      <c r="AX246" s="28"/>
      <c r="AY246" s="29" t="s">
        <v>70</v>
      </c>
      <c r="AZ246" s="30"/>
      <c r="BA246" s="25" t="s">
        <v>836</v>
      </c>
      <c r="BB246" s="26" t="s">
        <v>118</v>
      </c>
      <c r="BC246" s="27"/>
      <c r="BD246" s="24"/>
      <c r="BE246" s="27"/>
      <c r="BF246" s="27"/>
      <c r="BG246" s="27"/>
      <c r="BH246" s="27"/>
    </row>
    <row r="247" ht="14.25" customHeight="1">
      <c r="A247" s="12" t="s">
        <v>837</v>
      </c>
      <c r="B247" s="12"/>
      <c r="C247" s="13"/>
      <c r="D247" s="14"/>
      <c r="E247" s="15"/>
      <c r="F247" s="15"/>
      <c r="G247" s="12"/>
      <c r="H247" s="16"/>
      <c r="I247" s="17">
        <v>0.0</v>
      </c>
      <c r="J247" s="18"/>
      <c r="K247" s="18"/>
      <c r="L247" s="18" t="s">
        <v>84</v>
      </c>
      <c r="M247" s="18" t="s">
        <v>62</v>
      </c>
      <c r="N247" s="18" t="s">
        <v>86</v>
      </c>
      <c r="O247" s="18" t="s">
        <v>86</v>
      </c>
      <c r="P247" s="18" t="s">
        <v>86</v>
      </c>
      <c r="Q247" s="18" t="s">
        <v>162</v>
      </c>
      <c r="R247" s="15">
        <f t="shared" si="3"/>
        <v>0</v>
      </c>
      <c r="S247" s="15">
        <v>57.0</v>
      </c>
      <c r="T247" s="15">
        <v>0.0</v>
      </c>
      <c r="U247" s="20">
        <f t="shared" si="4"/>
        <v>0</v>
      </c>
      <c r="V247" s="15">
        <f t="shared" si="5"/>
        <v>21</v>
      </c>
      <c r="W247" s="15">
        <v>4.0</v>
      </c>
      <c r="X247" s="20">
        <f t="shared" si="6"/>
        <v>0.0701754386</v>
      </c>
      <c r="Y247" s="15">
        <f t="shared" ref="Y247:Z247" si="498">AE247-W247</f>
        <v>9</v>
      </c>
      <c r="Z247" s="20">
        <f t="shared" si="498"/>
        <v>0.1578947368</v>
      </c>
      <c r="AA247" s="15">
        <v>7.0</v>
      </c>
      <c r="AB247" s="20">
        <f t="shared" si="8"/>
        <v>0.1228070175</v>
      </c>
      <c r="AC247" s="15">
        <f t="shared" ref="AC247:AD247" si="499">AE247-AA247</f>
        <v>6</v>
      </c>
      <c r="AD247" s="20">
        <f t="shared" si="499"/>
        <v>0.1052631579</v>
      </c>
      <c r="AE247" s="15">
        <v>13.0</v>
      </c>
      <c r="AF247" s="20">
        <f t="shared" si="10"/>
        <v>0.2280701754</v>
      </c>
      <c r="AG247" s="15" t="e">
        <v>#N/A</v>
      </c>
      <c r="AH247" s="20" t="str">
        <f t="shared" si="11"/>
        <v>#N/A</v>
      </c>
      <c r="AI247" s="15">
        <v>21.0</v>
      </c>
      <c r="AJ247" s="15">
        <v>1.0</v>
      </c>
      <c r="AK247" s="21">
        <v>0.0</v>
      </c>
      <c r="AL247" s="22">
        <v>0.385964912280702</v>
      </c>
      <c r="AM247" s="15">
        <v>35.0</v>
      </c>
      <c r="AN247" s="15">
        <v>34.0</v>
      </c>
      <c r="AO247" s="23" t="s">
        <v>697</v>
      </c>
      <c r="AP247" s="23" t="s">
        <v>697</v>
      </c>
      <c r="AQ247" s="13" t="s">
        <v>93</v>
      </c>
      <c r="AR247" s="24" t="s">
        <v>66</v>
      </c>
      <c r="AS247" s="24"/>
      <c r="AT247" s="25" t="s">
        <v>838</v>
      </c>
      <c r="AU247" s="26" t="s">
        <v>88</v>
      </c>
      <c r="AV247" s="27"/>
      <c r="AW247" s="24" t="s">
        <v>100</v>
      </c>
      <c r="AX247" s="28"/>
      <c r="AY247" s="29" t="s">
        <v>134</v>
      </c>
      <c r="AZ247" s="29"/>
      <c r="BA247" s="28"/>
      <c r="BB247" s="26" t="s">
        <v>90</v>
      </c>
      <c r="BC247" s="27"/>
      <c r="BD247" s="34" t="s">
        <v>91</v>
      </c>
      <c r="BE247" s="34"/>
      <c r="BF247" s="27"/>
      <c r="BG247" s="27"/>
      <c r="BH247" s="27"/>
    </row>
    <row r="248" ht="14.25" customHeight="1">
      <c r="A248" s="12" t="s">
        <v>839</v>
      </c>
      <c r="B248" s="12"/>
      <c r="C248" s="13"/>
      <c r="D248" s="14"/>
      <c r="E248" s="15"/>
      <c r="F248" s="15"/>
      <c r="G248" s="12"/>
      <c r="H248" s="16"/>
      <c r="I248" s="17">
        <v>0.0067</v>
      </c>
      <c r="J248" s="18"/>
      <c r="K248" s="18" t="s">
        <v>84</v>
      </c>
      <c r="L248" s="18" t="s">
        <v>62</v>
      </c>
      <c r="M248" s="18" t="s">
        <v>62</v>
      </c>
      <c r="N248" s="18"/>
      <c r="O248" s="18" t="s">
        <v>62</v>
      </c>
      <c r="P248" s="19" t="s">
        <v>62</v>
      </c>
      <c r="Q248" s="19" t="s">
        <v>62</v>
      </c>
      <c r="R248" s="15">
        <f t="shared" si="3"/>
        <v>0</v>
      </c>
      <c r="S248" s="15">
        <v>126.0</v>
      </c>
      <c r="T248" s="15">
        <v>1.0</v>
      </c>
      <c r="U248" s="20">
        <f t="shared" si="4"/>
        <v>0.007936507937</v>
      </c>
      <c r="V248" s="15">
        <f t="shared" si="5"/>
        <v>65</v>
      </c>
      <c r="W248" s="15">
        <v>1.0</v>
      </c>
      <c r="X248" s="20">
        <f t="shared" si="6"/>
        <v>0.007936507937</v>
      </c>
      <c r="Y248" s="15">
        <f t="shared" ref="Y248:Z248" si="500">AE248-W248</f>
        <v>65</v>
      </c>
      <c r="Z248" s="20">
        <f t="shared" si="500"/>
        <v>0.5158730159</v>
      </c>
      <c r="AA248" s="15">
        <v>1.0</v>
      </c>
      <c r="AB248" s="20">
        <f t="shared" si="8"/>
        <v>0.007936507937</v>
      </c>
      <c r="AC248" s="15">
        <f t="shared" ref="AC248:AD248" si="501">AE248-AA248</f>
        <v>65</v>
      </c>
      <c r="AD248" s="20">
        <f t="shared" si="501"/>
        <v>0.5158730159</v>
      </c>
      <c r="AE248" s="15">
        <v>66.0</v>
      </c>
      <c r="AF248" s="20">
        <f t="shared" si="10"/>
        <v>0.5238095238</v>
      </c>
      <c r="AG248" s="15" t="e">
        <v>#N/A</v>
      </c>
      <c r="AH248" s="20" t="str">
        <f t="shared" si="11"/>
        <v>#N/A</v>
      </c>
      <c r="AI248" s="15">
        <v>66.0</v>
      </c>
      <c r="AJ248" s="15">
        <v>0.0</v>
      </c>
      <c r="AK248" s="21">
        <v>0.0</v>
      </c>
      <c r="AL248" s="22">
        <v>0.523809523809524</v>
      </c>
      <c r="AM248" s="15">
        <v>60.0</v>
      </c>
      <c r="AN248" s="15">
        <v>60.0</v>
      </c>
      <c r="AO248" s="23" t="s">
        <v>697</v>
      </c>
      <c r="AP248" s="23" t="s">
        <v>697</v>
      </c>
      <c r="AQ248" s="13" t="s">
        <v>108</v>
      </c>
      <c r="AR248" s="24" t="s">
        <v>66</v>
      </c>
      <c r="AS248" s="24"/>
      <c r="AT248" s="25" t="s">
        <v>840</v>
      </c>
      <c r="AU248" s="26" t="s">
        <v>106</v>
      </c>
      <c r="AV248" s="27"/>
      <c r="AW248" s="24" t="s">
        <v>69</v>
      </c>
      <c r="AX248" s="28"/>
      <c r="AY248" s="29" t="s">
        <v>89</v>
      </c>
      <c r="AZ248" s="29"/>
      <c r="BA248" s="28"/>
      <c r="BB248" s="26" t="s">
        <v>90</v>
      </c>
      <c r="BC248" s="27"/>
      <c r="BD248" s="34" t="s">
        <v>91</v>
      </c>
      <c r="BE248" s="34"/>
      <c r="BF248" s="27"/>
      <c r="BG248" s="27"/>
      <c r="BH248" s="27"/>
    </row>
    <row r="249" ht="14.25" customHeight="1">
      <c r="A249" s="119" t="s">
        <v>841</v>
      </c>
      <c r="B249" s="119"/>
      <c r="C249" s="13"/>
      <c r="D249" s="14"/>
      <c r="E249" s="15"/>
      <c r="F249" s="15"/>
      <c r="G249" s="12"/>
      <c r="H249" s="16"/>
      <c r="I249" s="17">
        <v>0.0444</v>
      </c>
      <c r="J249" s="18"/>
      <c r="K249" s="18"/>
      <c r="L249" s="18" t="s">
        <v>84</v>
      </c>
      <c r="M249" s="18" t="s">
        <v>62</v>
      </c>
      <c r="N249" s="18" t="s">
        <v>62</v>
      </c>
      <c r="O249" s="18" t="s">
        <v>86</v>
      </c>
      <c r="P249" s="18" t="s">
        <v>60</v>
      </c>
      <c r="Q249" s="19" t="s">
        <v>60</v>
      </c>
      <c r="R249" s="15">
        <f t="shared" si="3"/>
        <v>0</v>
      </c>
      <c r="S249" s="15">
        <v>32.0</v>
      </c>
      <c r="T249" s="15">
        <v>2.0</v>
      </c>
      <c r="U249" s="20">
        <f t="shared" si="4"/>
        <v>0.0625</v>
      </c>
      <c r="V249" s="15">
        <f t="shared" si="5"/>
        <v>8</v>
      </c>
      <c r="W249" s="15">
        <v>2.0</v>
      </c>
      <c r="X249" s="20">
        <f t="shared" si="6"/>
        <v>0.0625</v>
      </c>
      <c r="Y249" s="15">
        <f t="shared" ref="Y249:Z249" si="502">AE249-W249</f>
        <v>10</v>
      </c>
      <c r="Z249" s="20">
        <f t="shared" si="502"/>
        <v>0.3125</v>
      </c>
      <c r="AA249" s="15">
        <v>12.0</v>
      </c>
      <c r="AB249" s="20">
        <f t="shared" si="8"/>
        <v>0.375</v>
      </c>
      <c r="AC249" s="15">
        <f t="shared" ref="AC249:AD249" si="503">AE249-AA249</f>
        <v>0</v>
      </c>
      <c r="AD249" s="20">
        <f t="shared" si="503"/>
        <v>0</v>
      </c>
      <c r="AE249" s="15">
        <v>12.0</v>
      </c>
      <c r="AF249" s="20">
        <f t="shared" si="10"/>
        <v>0.375</v>
      </c>
      <c r="AG249" s="15" t="e">
        <v>#N/A</v>
      </c>
      <c r="AH249" s="20" t="str">
        <f t="shared" si="11"/>
        <v>#N/A</v>
      </c>
      <c r="AI249" s="15">
        <v>10.0</v>
      </c>
      <c r="AJ249" s="15">
        <v>2.0</v>
      </c>
      <c r="AK249" s="21">
        <v>0.0</v>
      </c>
      <c r="AL249" s="22">
        <v>0.375</v>
      </c>
      <c r="AM249" s="15">
        <v>22.0</v>
      </c>
      <c r="AN249" s="15">
        <v>20.0</v>
      </c>
      <c r="AO249" s="23" t="s">
        <v>697</v>
      </c>
      <c r="AP249" s="23" t="s">
        <v>697</v>
      </c>
      <c r="AQ249" s="13" t="s">
        <v>77</v>
      </c>
      <c r="AR249" s="24" t="s">
        <v>66</v>
      </c>
      <c r="AS249" s="24"/>
      <c r="AT249" s="25" t="s">
        <v>842</v>
      </c>
      <c r="AU249" s="26" t="s">
        <v>68</v>
      </c>
      <c r="AV249" s="27"/>
      <c r="AW249" s="24" t="s">
        <v>69</v>
      </c>
      <c r="AX249" s="27"/>
      <c r="AY249" s="29" t="s">
        <v>134</v>
      </c>
      <c r="AZ249" s="29"/>
      <c r="BA249" s="28"/>
      <c r="BB249" s="26" t="s">
        <v>90</v>
      </c>
      <c r="BC249" s="27"/>
      <c r="BD249" s="34" t="s">
        <v>91</v>
      </c>
      <c r="BE249" s="34"/>
      <c r="BF249" s="27"/>
      <c r="BG249" s="27"/>
      <c r="BH249" s="27"/>
    </row>
    <row r="250" ht="14.25" customHeight="1">
      <c r="A250" s="12" t="s">
        <v>843</v>
      </c>
      <c r="B250" s="12"/>
      <c r="C250" s="13"/>
      <c r="D250" s="14"/>
      <c r="E250" s="15"/>
      <c r="F250" s="15"/>
      <c r="G250" s="12"/>
      <c r="H250" s="16"/>
      <c r="I250" s="17">
        <v>0.0</v>
      </c>
      <c r="J250" s="18"/>
      <c r="K250" s="18"/>
      <c r="L250" s="18" t="s">
        <v>84</v>
      </c>
      <c r="M250" s="18" t="s">
        <v>84</v>
      </c>
      <c r="N250" s="18"/>
      <c r="O250" s="18"/>
      <c r="P250" s="18" t="s">
        <v>60</v>
      </c>
      <c r="Q250" s="18" t="s">
        <v>60</v>
      </c>
      <c r="R250" s="15">
        <f t="shared" si="3"/>
        <v>0</v>
      </c>
      <c r="S250" s="15">
        <v>78.0</v>
      </c>
      <c r="T250" s="15">
        <v>0.0</v>
      </c>
      <c r="U250" s="20">
        <f t="shared" si="4"/>
        <v>0</v>
      </c>
      <c r="V250" s="15">
        <f t="shared" si="5"/>
        <v>49</v>
      </c>
      <c r="W250" s="15">
        <v>17.0</v>
      </c>
      <c r="X250" s="20">
        <f t="shared" si="6"/>
        <v>0.2179487179</v>
      </c>
      <c r="Y250" s="15">
        <f t="shared" ref="Y250:Z250" si="504">AE250-W250</f>
        <v>1</v>
      </c>
      <c r="Z250" s="20">
        <f t="shared" si="504"/>
        <v>0.01282051282</v>
      </c>
      <c r="AA250" s="15">
        <v>17.0</v>
      </c>
      <c r="AB250" s="20">
        <f t="shared" si="8"/>
        <v>0.2179487179</v>
      </c>
      <c r="AC250" s="15">
        <f t="shared" ref="AC250:AD250" si="505">AE250-AA250</f>
        <v>1</v>
      </c>
      <c r="AD250" s="20">
        <f t="shared" si="505"/>
        <v>0.01282051282</v>
      </c>
      <c r="AE250" s="15">
        <v>18.0</v>
      </c>
      <c r="AF250" s="20">
        <f t="shared" si="10"/>
        <v>0.2307692308</v>
      </c>
      <c r="AG250" s="15" t="e">
        <v>#N/A</v>
      </c>
      <c r="AH250" s="20" t="str">
        <f t="shared" si="11"/>
        <v>#N/A</v>
      </c>
      <c r="AI250" s="15">
        <v>49.0</v>
      </c>
      <c r="AJ250" s="15">
        <v>0.0</v>
      </c>
      <c r="AK250" s="21">
        <v>0.0</v>
      </c>
      <c r="AL250" s="22">
        <v>0.628205128205128</v>
      </c>
      <c r="AM250" s="15">
        <v>29.0</v>
      </c>
      <c r="AN250" s="15">
        <v>29.0</v>
      </c>
      <c r="AO250" s="23" t="s">
        <v>697</v>
      </c>
      <c r="AP250" s="23" t="s">
        <v>697</v>
      </c>
      <c r="AQ250" s="13" t="s">
        <v>104</v>
      </c>
      <c r="AR250" s="24" t="s">
        <v>66</v>
      </c>
      <c r="AS250" s="24"/>
      <c r="AT250" s="25" t="s">
        <v>844</v>
      </c>
      <c r="AU250" s="26" t="s">
        <v>68</v>
      </c>
      <c r="AV250" s="27"/>
      <c r="AW250" s="24" t="s">
        <v>100</v>
      </c>
      <c r="AX250" s="28"/>
      <c r="AY250" s="29" t="s">
        <v>70</v>
      </c>
      <c r="AZ250" s="30"/>
      <c r="BA250" s="25" t="s">
        <v>845</v>
      </c>
      <c r="BB250" s="26" t="s">
        <v>72</v>
      </c>
      <c r="BC250" s="27"/>
      <c r="BD250" s="24" t="s">
        <v>73</v>
      </c>
      <c r="BE250" s="27"/>
      <c r="BF250" s="27"/>
      <c r="BG250" s="27"/>
      <c r="BH250" s="27"/>
    </row>
    <row r="251" ht="14.25" customHeight="1">
      <c r="A251" s="12" t="s">
        <v>846</v>
      </c>
      <c r="B251" s="12"/>
      <c r="C251" s="13"/>
      <c r="D251" s="14"/>
      <c r="E251" s="15"/>
      <c r="F251" s="15"/>
      <c r="G251" s="12"/>
      <c r="H251" s="16"/>
      <c r="I251" s="17">
        <v>1.0</v>
      </c>
      <c r="J251" s="18" t="s">
        <v>114</v>
      </c>
      <c r="K251" s="18" t="s">
        <v>270</v>
      </c>
      <c r="L251" s="18" t="s">
        <v>60</v>
      </c>
      <c r="M251" s="18" t="s">
        <v>60</v>
      </c>
      <c r="N251" s="18"/>
      <c r="O251" s="18" t="s">
        <v>60</v>
      </c>
      <c r="P251" s="18" t="s">
        <v>60</v>
      </c>
      <c r="Q251" s="19" t="s">
        <v>60</v>
      </c>
      <c r="R251" s="15">
        <f t="shared" si="3"/>
        <v>0</v>
      </c>
      <c r="S251" s="15">
        <v>13.0</v>
      </c>
      <c r="T251" s="15">
        <v>13.0</v>
      </c>
      <c r="U251" s="20">
        <f t="shared" si="4"/>
        <v>1</v>
      </c>
      <c r="V251" s="15">
        <f t="shared" si="5"/>
        <v>0</v>
      </c>
      <c r="W251" s="15">
        <v>13.0</v>
      </c>
      <c r="X251" s="20">
        <f t="shared" si="6"/>
        <v>1</v>
      </c>
      <c r="Y251" s="15">
        <f t="shared" ref="Y251:Z251" si="506">AE251-W251</f>
        <v>0</v>
      </c>
      <c r="Z251" s="20">
        <f t="shared" si="506"/>
        <v>0</v>
      </c>
      <c r="AA251" s="15">
        <v>13.0</v>
      </c>
      <c r="AB251" s="20">
        <f t="shared" si="8"/>
        <v>1</v>
      </c>
      <c r="AC251" s="15">
        <f t="shared" ref="AC251:AD251" si="507">AE251-AA251</f>
        <v>0</v>
      </c>
      <c r="AD251" s="20">
        <f t="shared" si="507"/>
        <v>0</v>
      </c>
      <c r="AE251" s="15">
        <v>13.0</v>
      </c>
      <c r="AF251" s="20">
        <f t="shared" si="10"/>
        <v>1</v>
      </c>
      <c r="AG251" s="15" t="e">
        <v>#N/A</v>
      </c>
      <c r="AH251" s="20" t="str">
        <f t="shared" si="11"/>
        <v>#N/A</v>
      </c>
      <c r="AI251" s="15">
        <v>13.0</v>
      </c>
      <c r="AJ251" s="15">
        <v>0.0</v>
      </c>
      <c r="AK251" s="21">
        <v>0.0</v>
      </c>
      <c r="AL251" s="22">
        <v>1.0</v>
      </c>
      <c r="AM251" s="15">
        <v>0.0</v>
      </c>
      <c r="AN251" s="15">
        <v>0.0</v>
      </c>
      <c r="AO251" s="23" t="s">
        <v>697</v>
      </c>
      <c r="AP251" s="23" t="s">
        <v>697</v>
      </c>
      <c r="AQ251" s="13" t="s">
        <v>104</v>
      </c>
      <c r="AR251" s="24" t="s">
        <v>66</v>
      </c>
      <c r="AS251" s="24"/>
      <c r="AT251" s="25" t="s">
        <v>847</v>
      </c>
      <c r="AU251" s="26" t="s">
        <v>68</v>
      </c>
      <c r="AV251" s="27"/>
      <c r="AW251" s="24" t="s">
        <v>100</v>
      </c>
      <c r="AX251" s="28"/>
      <c r="AY251" s="29" t="s">
        <v>70</v>
      </c>
      <c r="AZ251" s="32"/>
      <c r="BA251" s="25" t="s">
        <v>848</v>
      </c>
      <c r="BB251" s="26" t="s">
        <v>72</v>
      </c>
      <c r="BC251" s="27"/>
      <c r="BD251" s="24" t="s">
        <v>112</v>
      </c>
      <c r="BE251" s="27"/>
      <c r="BF251" s="27"/>
      <c r="BG251" s="27"/>
      <c r="BH251" s="27"/>
    </row>
    <row r="252" ht="14.25" customHeight="1">
      <c r="A252" s="119" t="s">
        <v>849</v>
      </c>
      <c r="B252" s="119"/>
      <c r="C252" s="120"/>
      <c r="D252" s="14"/>
      <c r="E252" s="15"/>
      <c r="F252" s="15"/>
      <c r="G252" s="12"/>
      <c r="H252" s="16"/>
      <c r="I252" s="17">
        <v>0.0714</v>
      </c>
      <c r="J252" s="18"/>
      <c r="K252" s="18" t="s">
        <v>62</v>
      </c>
      <c r="L252" s="18" t="s">
        <v>62</v>
      </c>
      <c r="M252" s="18" t="s">
        <v>62</v>
      </c>
      <c r="N252" s="18"/>
      <c r="O252" s="18" t="s">
        <v>84</v>
      </c>
      <c r="P252" s="18" t="s">
        <v>86</v>
      </c>
      <c r="Q252" s="19" t="s">
        <v>60</v>
      </c>
      <c r="R252" s="15">
        <f t="shared" si="3"/>
        <v>0</v>
      </c>
      <c r="S252" s="15">
        <v>9.0</v>
      </c>
      <c r="T252" s="15">
        <v>1.0</v>
      </c>
      <c r="U252" s="20">
        <f t="shared" si="4"/>
        <v>0.1111111111</v>
      </c>
      <c r="V252" s="15">
        <f t="shared" si="5"/>
        <v>3</v>
      </c>
      <c r="W252" s="15">
        <v>1.0</v>
      </c>
      <c r="X252" s="20">
        <f t="shared" si="6"/>
        <v>0.1111111111</v>
      </c>
      <c r="Y252" s="15">
        <f t="shared" ref="Y252:Z252" si="508">AE252-W252</f>
        <v>1</v>
      </c>
      <c r="Z252" s="20">
        <f t="shared" si="508"/>
        <v>0.1111111111</v>
      </c>
      <c r="AA252" s="15">
        <v>2.0</v>
      </c>
      <c r="AB252" s="20">
        <f t="shared" si="8"/>
        <v>0.2222222222</v>
      </c>
      <c r="AC252" s="15">
        <f t="shared" ref="AC252:AD252" si="509">AE252-AA252</f>
        <v>0</v>
      </c>
      <c r="AD252" s="20">
        <f t="shared" si="509"/>
        <v>0</v>
      </c>
      <c r="AE252" s="15">
        <v>2.0</v>
      </c>
      <c r="AF252" s="20">
        <f t="shared" si="10"/>
        <v>0.2222222222</v>
      </c>
      <c r="AG252" s="15" t="e">
        <v>#N/A</v>
      </c>
      <c r="AH252" s="20" t="str">
        <f t="shared" si="11"/>
        <v>#N/A</v>
      </c>
      <c r="AI252" s="15">
        <v>4.0</v>
      </c>
      <c r="AJ252" s="15">
        <v>0.0</v>
      </c>
      <c r="AK252" s="21">
        <v>0.0</v>
      </c>
      <c r="AL252" s="22">
        <v>0.444444444444444</v>
      </c>
      <c r="AM252" s="15">
        <v>5.0</v>
      </c>
      <c r="AN252" s="15">
        <v>5.0</v>
      </c>
      <c r="AO252" s="23" t="s">
        <v>697</v>
      </c>
      <c r="AP252" s="23" t="s">
        <v>697</v>
      </c>
      <c r="AQ252" s="13" t="s">
        <v>93</v>
      </c>
      <c r="AR252" s="24" t="s">
        <v>66</v>
      </c>
      <c r="AS252" s="24"/>
      <c r="AT252" s="25" t="s">
        <v>850</v>
      </c>
      <c r="AU252" s="26" t="s">
        <v>68</v>
      </c>
      <c r="AV252" s="27"/>
      <c r="AW252" s="24" t="s">
        <v>100</v>
      </c>
      <c r="AX252" s="28"/>
      <c r="AY252" s="29" t="s">
        <v>89</v>
      </c>
      <c r="AZ252" s="29"/>
      <c r="BA252" s="28"/>
      <c r="BB252" s="26" t="s">
        <v>90</v>
      </c>
      <c r="BC252" s="27"/>
      <c r="BD252" s="34" t="s">
        <v>91</v>
      </c>
      <c r="BE252" s="34"/>
      <c r="BF252" s="27"/>
      <c r="BG252" s="27"/>
      <c r="BH252" s="27"/>
    </row>
    <row r="253" ht="14.25" customHeight="1">
      <c r="A253" s="119" t="s">
        <v>851</v>
      </c>
      <c r="B253" s="119"/>
      <c r="C253" s="120"/>
      <c r="D253" s="14"/>
      <c r="E253" s="15"/>
      <c r="F253" s="15"/>
      <c r="G253" s="12"/>
      <c r="H253" s="16"/>
      <c r="I253" s="17">
        <v>1.0</v>
      </c>
      <c r="J253" s="18" t="s">
        <v>775</v>
      </c>
      <c r="K253" s="18" t="s">
        <v>270</v>
      </c>
      <c r="L253" s="18" t="s">
        <v>60</v>
      </c>
      <c r="M253" s="18" t="s">
        <v>60</v>
      </c>
      <c r="N253" s="18"/>
      <c r="O253" s="18" t="s">
        <v>60</v>
      </c>
      <c r="P253" s="18" t="s">
        <v>60</v>
      </c>
      <c r="Q253" s="19" t="s">
        <v>60</v>
      </c>
      <c r="R253" s="15">
        <f t="shared" si="3"/>
        <v>0</v>
      </c>
      <c r="S253" s="15">
        <v>7.0</v>
      </c>
      <c r="T253" s="15">
        <v>7.0</v>
      </c>
      <c r="U253" s="20">
        <f t="shared" si="4"/>
        <v>1</v>
      </c>
      <c r="V253" s="15">
        <f t="shared" si="5"/>
        <v>0</v>
      </c>
      <c r="W253" s="15">
        <v>7.0</v>
      </c>
      <c r="X253" s="20">
        <f t="shared" si="6"/>
        <v>1</v>
      </c>
      <c r="Y253" s="15">
        <f t="shared" ref="Y253:Z253" si="510">AE253-W253</f>
        <v>0</v>
      </c>
      <c r="Z253" s="20">
        <f t="shared" si="510"/>
        <v>0</v>
      </c>
      <c r="AA253" s="15">
        <v>7.0</v>
      </c>
      <c r="AB253" s="20">
        <f t="shared" si="8"/>
        <v>1</v>
      </c>
      <c r="AC253" s="15">
        <f t="shared" ref="AC253:AD253" si="511">AE253-AA253</f>
        <v>0</v>
      </c>
      <c r="AD253" s="20">
        <f t="shared" si="511"/>
        <v>0</v>
      </c>
      <c r="AE253" s="15">
        <v>7.0</v>
      </c>
      <c r="AF253" s="20">
        <f t="shared" si="10"/>
        <v>1</v>
      </c>
      <c r="AG253" s="15" t="e">
        <v>#N/A</v>
      </c>
      <c r="AH253" s="20" t="str">
        <f t="shared" si="11"/>
        <v>#N/A</v>
      </c>
      <c r="AI253" s="15">
        <v>7.0</v>
      </c>
      <c r="AJ253" s="15">
        <v>0.0</v>
      </c>
      <c r="AK253" s="21">
        <v>0.0</v>
      </c>
      <c r="AL253" s="22">
        <v>1.0</v>
      </c>
      <c r="AM253" s="15">
        <v>0.0</v>
      </c>
      <c r="AN253" s="15">
        <v>0.0</v>
      </c>
      <c r="AO253" s="23" t="s">
        <v>697</v>
      </c>
      <c r="AP253" s="23" t="s">
        <v>697</v>
      </c>
      <c r="AQ253" s="13" t="s">
        <v>108</v>
      </c>
      <c r="AR253" s="24" t="s">
        <v>66</v>
      </c>
      <c r="AS253" s="24"/>
      <c r="AT253" s="25" t="s">
        <v>852</v>
      </c>
      <c r="AU253" s="26" t="s">
        <v>88</v>
      </c>
      <c r="AV253" s="36"/>
      <c r="AW253" s="24" t="s">
        <v>79</v>
      </c>
      <c r="AX253" s="28"/>
      <c r="AY253" s="29" t="s">
        <v>70</v>
      </c>
      <c r="AZ253" s="32"/>
      <c r="BA253" s="25" t="s">
        <v>853</v>
      </c>
      <c r="BB253" s="26" t="s">
        <v>386</v>
      </c>
      <c r="BC253" s="31"/>
      <c r="BD253" s="24"/>
      <c r="BE253" s="27"/>
      <c r="BF253" s="27"/>
      <c r="BG253" s="27"/>
      <c r="BH253" s="27"/>
    </row>
    <row r="254" ht="14.25" customHeight="1">
      <c r="A254" s="119" t="s">
        <v>854</v>
      </c>
      <c r="B254" s="119"/>
      <c r="C254" s="120"/>
      <c r="D254" s="14"/>
      <c r="E254" s="15"/>
      <c r="F254" s="15"/>
      <c r="G254" s="12"/>
      <c r="H254" s="16"/>
      <c r="I254" s="17">
        <v>0.0</v>
      </c>
      <c r="J254" s="18"/>
      <c r="K254" s="18"/>
      <c r="L254" s="18" t="s">
        <v>84</v>
      </c>
      <c r="M254" s="18" t="s">
        <v>84</v>
      </c>
      <c r="N254" s="18"/>
      <c r="O254" s="18" t="s">
        <v>84</v>
      </c>
      <c r="P254" s="18" t="s">
        <v>84</v>
      </c>
      <c r="Q254" s="19" t="s">
        <v>60</v>
      </c>
      <c r="R254" s="15">
        <f t="shared" si="3"/>
        <v>0</v>
      </c>
      <c r="S254" s="15">
        <v>3.0</v>
      </c>
      <c r="T254" s="15">
        <v>0.0</v>
      </c>
      <c r="U254" s="20">
        <f t="shared" si="4"/>
        <v>0</v>
      </c>
      <c r="V254" s="15">
        <f t="shared" si="5"/>
        <v>3</v>
      </c>
      <c r="W254" s="15">
        <v>0.0</v>
      </c>
      <c r="X254" s="20">
        <f t="shared" si="6"/>
        <v>0</v>
      </c>
      <c r="Y254" s="15">
        <f t="shared" ref="Y254:Z254" si="512">AE254-W254</f>
        <v>3</v>
      </c>
      <c r="Z254" s="20">
        <f t="shared" si="512"/>
        <v>1</v>
      </c>
      <c r="AA254" s="15">
        <v>3.0</v>
      </c>
      <c r="AB254" s="20">
        <f t="shared" si="8"/>
        <v>1</v>
      </c>
      <c r="AC254" s="15">
        <f t="shared" ref="AC254:AD254" si="513">AE254-AA254</f>
        <v>0</v>
      </c>
      <c r="AD254" s="20">
        <f t="shared" si="513"/>
        <v>0</v>
      </c>
      <c r="AE254" s="15">
        <v>3.0</v>
      </c>
      <c r="AF254" s="20">
        <f t="shared" si="10"/>
        <v>1</v>
      </c>
      <c r="AG254" s="15" t="e">
        <v>#N/A</v>
      </c>
      <c r="AH254" s="20" t="str">
        <f t="shared" si="11"/>
        <v>#N/A</v>
      </c>
      <c r="AI254" s="15">
        <v>3.0</v>
      </c>
      <c r="AJ254" s="15">
        <v>0.0</v>
      </c>
      <c r="AK254" s="21">
        <v>0.0</v>
      </c>
      <c r="AL254" s="22">
        <v>1.0</v>
      </c>
      <c r="AM254" s="15">
        <v>0.0</v>
      </c>
      <c r="AN254" s="15">
        <v>0.0</v>
      </c>
      <c r="AO254" s="23" t="s">
        <v>697</v>
      </c>
      <c r="AP254" s="23" t="s">
        <v>697</v>
      </c>
      <c r="AQ254" s="13" t="s">
        <v>93</v>
      </c>
      <c r="AR254" s="24" t="s">
        <v>66</v>
      </c>
      <c r="AS254" s="24"/>
      <c r="AT254" s="25" t="s">
        <v>855</v>
      </c>
      <c r="AU254" s="26" t="s">
        <v>68</v>
      </c>
      <c r="AV254" s="27"/>
      <c r="AW254" s="24" t="s">
        <v>79</v>
      </c>
      <c r="AX254" s="28"/>
      <c r="AY254" s="29" t="s">
        <v>89</v>
      </c>
      <c r="AZ254" s="29"/>
      <c r="BA254" s="28"/>
      <c r="BB254" s="26" t="s">
        <v>90</v>
      </c>
      <c r="BC254" s="27"/>
      <c r="BD254" s="34" t="s">
        <v>91</v>
      </c>
      <c r="BE254" s="34"/>
      <c r="BF254" s="27"/>
      <c r="BG254" s="27"/>
      <c r="BH254" s="27"/>
    </row>
    <row r="255" ht="14.25" customHeight="1">
      <c r="A255" s="119" t="s">
        <v>856</v>
      </c>
      <c r="B255" s="119"/>
      <c r="C255" s="120"/>
      <c r="D255" s="14"/>
      <c r="E255" s="15"/>
      <c r="F255" s="15"/>
      <c r="G255" s="12"/>
      <c r="H255" s="16"/>
      <c r="I255" s="17">
        <v>0.0833</v>
      </c>
      <c r="J255" s="18"/>
      <c r="K255" s="18" t="s">
        <v>62</v>
      </c>
      <c r="L255" s="18" t="s">
        <v>62</v>
      </c>
      <c r="M255" s="18" t="s">
        <v>264</v>
      </c>
      <c r="N255" s="18"/>
      <c r="O255" s="18" t="s">
        <v>84</v>
      </c>
      <c r="P255" s="18" t="s">
        <v>84</v>
      </c>
      <c r="Q255" s="19" t="s">
        <v>60</v>
      </c>
      <c r="R255" s="15">
        <f t="shared" si="3"/>
        <v>0</v>
      </c>
      <c r="S255" s="15">
        <v>11.0</v>
      </c>
      <c r="T255" s="15">
        <v>0.0</v>
      </c>
      <c r="U255" s="20">
        <f t="shared" si="4"/>
        <v>0</v>
      </c>
      <c r="V255" s="15">
        <f t="shared" si="5"/>
        <v>6</v>
      </c>
      <c r="W255" s="15">
        <v>0.0</v>
      </c>
      <c r="X255" s="20">
        <f t="shared" si="6"/>
        <v>0</v>
      </c>
      <c r="Y255" s="15">
        <f t="shared" ref="Y255:Z255" si="514">AE255-W255</f>
        <v>6</v>
      </c>
      <c r="Z255" s="20">
        <f t="shared" si="514"/>
        <v>0.5454545455</v>
      </c>
      <c r="AA255" s="15">
        <v>6.0</v>
      </c>
      <c r="AB255" s="20">
        <f t="shared" si="8"/>
        <v>0.5454545455</v>
      </c>
      <c r="AC255" s="15">
        <f t="shared" ref="AC255:AD255" si="515">AE255-AA255</f>
        <v>0</v>
      </c>
      <c r="AD255" s="20">
        <f t="shared" si="515"/>
        <v>0</v>
      </c>
      <c r="AE255" s="15">
        <v>6.0</v>
      </c>
      <c r="AF255" s="20">
        <f t="shared" si="10"/>
        <v>0.5454545455</v>
      </c>
      <c r="AG255" s="15" t="e">
        <v>#N/A</v>
      </c>
      <c r="AH255" s="20" t="str">
        <f t="shared" si="11"/>
        <v>#N/A</v>
      </c>
      <c r="AI255" s="15">
        <v>6.0</v>
      </c>
      <c r="AJ255" s="15">
        <v>0.0</v>
      </c>
      <c r="AK255" s="21">
        <v>0.0</v>
      </c>
      <c r="AL255" s="22">
        <v>0.545454545454545</v>
      </c>
      <c r="AM255" s="15">
        <v>5.0</v>
      </c>
      <c r="AN255" s="15">
        <v>5.0</v>
      </c>
      <c r="AO255" s="23" t="s">
        <v>697</v>
      </c>
      <c r="AP255" s="23" t="s">
        <v>806</v>
      </c>
      <c r="AQ255" s="13" t="s">
        <v>93</v>
      </c>
      <c r="AR255" s="24" t="s">
        <v>66</v>
      </c>
      <c r="AS255" s="24"/>
      <c r="AT255" s="25" t="s">
        <v>857</v>
      </c>
      <c r="AU255" s="26" t="s">
        <v>68</v>
      </c>
      <c r="AV255" s="27"/>
      <c r="AW255" s="24" t="s">
        <v>100</v>
      </c>
      <c r="AX255" s="28"/>
      <c r="AY255" s="29" t="s">
        <v>89</v>
      </c>
      <c r="AZ255" s="29"/>
      <c r="BA255" s="28"/>
      <c r="BB255" s="26" t="s">
        <v>90</v>
      </c>
      <c r="BC255" s="27"/>
      <c r="BD255" s="34" t="s">
        <v>91</v>
      </c>
      <c r="BE255" s="34"/>
      <c r="BF255" s="27"/>
      <c r="BG255" s="27"/>
      <c r="BH255" s="27"/>
    </row>
    <row r="256" ht="14.25" customHeight="1">
      <c r="A256" s="119" t="s">
        <v>858</v>
      </c>
      <c r="B256" s="119"/>
      <c r="C256" s="120"/>
      <c r="D256" s="14"/>
      <c r="E256" s="15"/>
      <c r="F256" s="15"/>
      <c r="G256" s="12"/>
      <c r="H256" s="16"/>
      <c r="I256" s="17">
        <v>0.0</v>
      </c>
      <c r="J256" s="18"/>
      <c r="K256" s="18"/>
      <c r="L256" s="18" t="s">
        <v>84</v>
      </c>
      <c r="M256" s="18" t="s">
        <v>84</v>
      </c>
      <c r="N256" s="18"/>
      <c r="O256" s="18" t="s">
        <v>84</v>
      </c>
      <c r="P256" s="18" t="s">
        <v>84</v>
      </c>
      <c r="Q256" s="19" t="s">
        <v>60</v>
      </c>
      <c r="R256" s="15">
        <f t="shared" si="3"/>
        <v>0</v>
      </c>
      <c r="S256" s="15">
        <v>3.0</v>
      </c>
      <c r="T256" s="15">
        <v>0.0</v>
      </c>
      <c r="U256" s="20">
        <f t="shared" si="4"/>
        <v>0</v>
      </c>
      <c r="V256" s="15">
        <f t="shared" si="5"/>
        <v>2</v>
      </c>
      <c r="W256" s="15">
        <v>0.0</v>
      </c>
      <c r="X256" s="20">
        <f t="shared" si="6"/>
        <v>0</v>
      </c>
      <c r="Y256" s="15">
        <f t="shared" ref="Y256:Z256" si="516">AE256-W256</f>
        <v>1</v>
      </c>
      <c r="Z256" s="20">
        <f t="shared" si="516"/>
        <v>0.3333333333</v>
      </c>
      <c r="AA256" s="15">
        <v>1.0</v>
      </c>
      <c r="AB256" s="20">
        <f t="shared" si="8"/>
        <v>0.3333333333</v>
      </c>
      <c r="AC256" s="15">
        <f t="shared" ref="AC256:AD256" si="517">AE256-AA256</f>
        <v>0</v>
      </c>
      <c r="AD256" s="20">
        <f t="shared" si="517"/>
        <v>0</v>
      </c>
      <c r="AE256" s="15">
        <v>1.0</v>
      </c>
      <c r="AF256" s="20">
        <f t="shared" si="10"/>
        <v>0.3333333333</v>
      </c>
      <c r="AG256" s="15" t="e">
        <v>#N/A</v>
      </c>
      <c r="AH256" s="20" t="str">
        <f t="shared" si="11"/>
        <v>#N/A</v>
      </c>
      <c r="AI256" s="15">
        <v>2.0</v>
      </c>
      <c r="AJ256" s="15">
        <v>0.0</v>
      </c>
      <c r="AK256" s="21">
        <v>0.0</v>
      </c>
      <c r="AL256" s="22">
        <v>0.666666666666667</v>
      </c>
      <c r="AM256" s="15">
        <v>0.0</v>
      </c>
      <c r="AN256" s="15">
        <v>1.0</v>
      </c>
      <c r="AO256" s="23" t="s">
        <v>697</v>
      </c>
      <c r="AP256" s="23" t="s">
        <v>697</v>
      </c>
      <c r="AQ256" s="13" t="s">
        <v>104</v>
      </c>
      <c r="AR256" s="24" t="s">
        <v>130</v>
      </c>
      <c r="AS256" s="24"/>
      <c r="AT256" s="25" t="s">
        <v>859</v>
      </c>
      <c r="AU256" s="26" t="s">
        <v>68</v>
      </c>
      <c r="AV256" s="36"/>
      <c r="AW256" s="24" t="s">
        <v>100</v>
      </c>
      <c r="AX256" s="28"/>
      <c r="AY256" s="29" t="s">
        <v>89</v>
      </c>
      <c r="AZ256" s="29"/>
      <c r="BA256" s="28"/>
      <c r="BB256" s="26" t="s">
        <v>90</v>
      </c>
      <c r="BC256" s="27"/>
      <c r="BD256" s="34" t="s">
        <v>91</v>
      </c>
      <c r="BE256" s="34"/>
      <c r="BF256" s="27"/>
      <c r="BG256" s="27"/>
      <c r="BH256" s="27"/>
    </row>
    <row r="257" ht="14.25" customHeight="1">
      <c r="A257" s="119" t="s">
        <v>860</v>
      </c>
      <c r="B257" s="119"/>
      <c r="C257" s="120"/>
      <c r="D257" s="14"/>
      <c r="E257" s="15"/>
      <c r="F257" s="15"/>
      <c r="G257" s="12"/>
      <c r="H257" s="16"/>
      <c r="I257" s="17">
        <v>1.0</v>
      </c>
      <c r="J257" s="18" t="s">
        <v>114</v>
      </c>
      <c r="K257" s="18" t="s">
        <v>270</v>
      </c>
      <c r="L257" s="18" t="s">
        <v>60</v>
      </c>
      <c r="M257" s="18" t="s">
        <v>60</v>
      </c>
      <c r="N257" s="18"/>
      <c r="O257" s="18" t="s">
        <v>60</v>
      </c>
      <c r="P257" s="18" t="s">
        <v>60</v>
      </c>
      <c r="Q257" s="19" t="s">
        <v>60</v>
      </c>
      <c r="R257" s="15">
        <f t="shared" si="3"/>
        <v>0</v>
      </c>
      <c r="S257" s="15">
        <v>3.0</v>
      </c>
      <c r="T257" s="15">
        <v>3.0</v>
      </c>
      <c r="U257" s="20">
        <f t="shared" si="4"/>
        <v>1</v>
      </c>
      <c r="V257" s="15">
        <f t="shared" si="5"/>
        <v>0</v>
      </c>
      <c r="W257" s="15">
        <v>3.0</v>
      </c>
      <c r="X257" s="20">
        <f t="shared" si="6"/>
        <v>1</v>
      </c>
      <c r="Y257" s="15">
        <f t="shared" ref="Y257:Z257" si="518">AE257-W257</f>
        <v>0</v>
      </c>
      <c r="Z257" s="20">
        <f t="shared" si="518"/>
        <v>0</v>
      </c>
      <c r="AA257" s="15">
        <v>3.0</v>
      </c>
      <c r="AB257" s="20">
        <f t="shared" si="8"/>
        <v>1</v>
      </c>
      <c r="AC257" s="15">
        <f t="shared" ref="AC257:AD257" si="519">AE257-AA257</f>
        <v>0</v>
      </c>
      <c r="AD257" s="20">
        <f t="shared" si="519"/>
        <v>0</v>
      </c>
      <c r="AE257" s="15">
        <v>3.0</v>
      </c>
      <c r="AF257" s="20">
        <f t="shared" si="10"/>
        <v>1</v>
      </c>
      <c r="AG257" s="15" t="e">
        <v>#N/A</v>
      </c>
      <c r="AH257" s="20" t="str">
        <f t="shared" si="11"/>
        <v>#N/A</v>
      </c>
      <c r="AI257" s="15">
        <v>3.0</v>
      </c>
      <c r="AJ257" s="15">
        <v>0.0</v>
      </c>
      <c r="AK257" s="21">
        <v>0.0</v>
      </c>
      <c r="AL257" s="22">
        <v>1.0</v>
      </c>
      <c r="AM257" s="15">
        <v>0.0</v>
      </c>
      <c r="AN257" s="15">
        <v>0.0</v>
      </c>
      <c r="AO257" s="23" t="s">
        <v>697</v>
      </c>
      <c r="AP257" s="23" t="s">
        <v>697</v>
      </c>
      <c r="AQ257" s="13" t="s">
        <v>104</v>
      </c>
      <c r="AR257" s="24" t="s">
        <v>66</v>
      </c>
      <c r="AS257" s="24"/>
      <c r="AT257" s="25" t="s">
        <v>861</v>
      </c>
      <c r="AU257" s="26" t="s">
        <v>68</v>
      </c>
      <c r="AV257" s="27"/>
      <c r="AW257" s="24" t="s">
        <v>69</v>
      </c>
      <c r="AX257" s="28"/>
      <c r="AY257" s="29" t="s">
        <v>70</v>
      </c>
      <c r="AZ257" s="32"/>
      <c r="BA257" s="25" t="s">
        <v>862</v>
      </c>
      <c r="BB257" s="26" t="s">
        <v>72</v>
      </c>
      <c r="BC257" s="27"/>
      <c r="BD257" s="24" t="s">
        <v>112</v>
      </c>
      <c r="BE257" s="27"/>
      <c r="BF257" s="27"/>
      <c r="BG257" s="27"/>
      <c r="BH257" s="27"/>
    </row>
    <row r="258" ht="14.25" customHeight="1">
      <c r="A258" s="12" t="s">
        <v>863</v>
      </c>
      <c r="B258" s="12"/>
      <c r="C258" s="13"/>
      <c r="D258" s="14"/>
      <c r="E258" s="15"/>
      <c r="F258" s="15"/>
      <c r="G258" s="12"/>
      <c r="H258" s="16"/>
      <c r="I258" s="17">
        <v>1.0</v>
      </c>
      <c r="J258" s="18" t="s">
        <v>114</v>
      </c>
      <c r="K258" s="18" t="s">
        <v>270</v>
      </c>
      <c r="L258" s="18" t="s">
        <v>60</v>
      </c>
      <c r="M258" s="18" t="s">
        <v>60</v>
      </c>
      <c r="N258" s="18"/>
      <c r="O258" s="18" t="s">
        <v>60</v>
      </c>
      <c r="P258" s="18" t="s">
        <v>60</v>
      </c>
      <c r="Q258" s="19" t="s">
        <v>60</v>
      </c>
      <c r="R258" s="15">
        <f t="shared" si="3"/>
        <v>0</v>
      </c>
      <c r="S258" s="15">
        <v>11.0</v>
      </c>
      <c r="T258" s="15">
        <v>11.0</v>
      </c>
      <c r="U258" s="20">
        <f t="shared" si="4"/>
        <v>1</v>
      </c>
      <c r="V258" s="15">
        <f t="shared" si="5"/>
        <v>0</v>
      </c>
      <c r="W258" s="15">
        <v>11.0</v>
      </c>
      <c r="X258" s="20">
        <f t="shared" si="6"/>
        <v>1</v>
      </c>
      <c r="Y258" s="15">
        <f t="shared" ref="Y258:Z258" si="520">AE258-W258</f>
        <v>0</v>
      </c>
      <c r="Z258" s="20">
        <f t="shared" si="520"/>
        <v>0</v>
      </c>
      <c r="AA258" s="15">
        <v>11.0</v>
      </c>
      <c r="AB258" s="20">
        <f t="shared" si="8"/>
        <v>1</v>
      </c>
      <c r="AC258" s="15">
        <f t="shared" ref="AC258:AD258" si="521">AE258-AA258</f>
        <v>0</v>
      </c>
      <c r="AD258" s="20">
        <f t="shared" si="521"/>
        <v>0</v>
      </c>
      <c r="AE258" s="15">
        <v>11.0</v>
      </c>
      <c r="AF258" s="20">
        <f t="shared" si="10"/>
        <v>1</v>
      </c>
      <c r="AG258" s="15" t="e">
        <v>#N/A</v>
      </c>
      <c r="AH258" s="20" t="str">
        <f t="shared" si="11"/>
        <v>#N/A</v>
      </c>
      <c r="AI258" s="15">
        <v>11.0</v>
      </c>
      <c r="AJ258" s="15">
        <v>0.0</v>
      </c>
      <c r="AK258" s="21">
        <v>0.0</v>
      </c>
      <c r="AL258" s="22">
        <v>1.0</v>
      </c>
      <c r="AM258" s="15">
        <v>0.0</v>
      </c>
      <c r="AN258" s="15">
        <v>0.0</v>
      </c>
      <c r="AO258" s="23" t="s">
        <v>697</v>
      </c>
      <c r="AP258" s="23" t="s">
        <v>697</v>
      </c>
      <c r="AQ258" s="13" t="s">
        <v>104</v>
      </c>
      <c r="AR258" s="24" t="s">
        <v>66</v>
      </c>
      <c r="AS258" s="24"/>
      <c r="AT258" s="25" t="s">
        <v>864</v>
      </c>
      <c r="AU258" s="26" t="s">
        <v>88</v>
      </c>
      <c r="AV258" s="27"/>
      <c r="AW258" s="24" t="s">
        <v>100</v>
      </c>
      <c r="AX258" s="28"/>
      <c r="AY258" s="29" t="s">
        <v>70</v>
      </c>
      <c r="AZ258" s="30"/>
      <c r="BA258" s="25" t="s">
        <v>865</v>
      </c>
      <c r="BB258" s="26" t="s">
        <v>118</v>
      </c>
      <c r="BC258" s="27"/>
      <c r="BD258" s="24"/>
      <c r="BE258" s="27"/>
      <c r="BF258" s="27"/>
      <c r="BG258" s="27"/>
      <c r="BH258" s="27"/>
    </row>
    <row r="259" ht="14.25" customHeight="1">
      <c r="A259" s="119" t="s">
        <v>866</v>
      </c>
      <c r="B259" s="119"/>
      <c r="C259" s="120"/>
      <c r="D259" s="14"/>
      <c r="E259" s="15"/>
      <c r="F259" s="19"/>
      <c r="G259" s="39"/>
      <c r="H259" s="18"/>
      <c r="I259" s="17">
        <v>0.0</v>
      </c>
      <c r="J259" s="18"/>
      <c r="K259" s="18"/>
      <c r="L259" s="18" t="s">
        <v>84</v>
      </c>
      <c r="M259" s="18" t="s">
        <v>84</v>
      </c>
      <c r="N259" s="18"/>
      <c r="O259" s="18" t="s">
        <v>84</v>
      </c>
      <c r="P259" s="18" t="s">
        <v>86</v>
      </c>
      <c r="Q259" s="18" t="s">
        <v>129</v>
      </c>
      <c r="R259" s="15">
        <f t="shared" si="3"/>
        <v>0</v>
      </c>
      <c r="S259" s="15">
        <v>1.0</v>
      </c>
      <c r="T259" s="15">
        <v>0.0</v>
      </c>
      <c r="U259" s="20">
        <f t="shared" si="4"/>
        <v>0</v>
      </c>
      <c r="V259" s="15">
        <f t="shared" si="5"/>
        <v>1</v>
      </c>
      <c r="W259" s="15">
        <v>0.0</v>
      </c>
      <c r="X259" s="20">
        <f t="shared" si="6"/>
        <v>0</v>
      </c>
      <c r="Y259" s="15">
        <f t="shared" ref="Y259:Z259" si="522">AE259-W259</f>
        <v>1</v>
      </c>
      <c r="Z259" s="20">
        <f t="shared" si="522"/>
        <v>1</v>
      </c>
      <c r="AA259" s="15">
        <v>0.0</v>
      </c>
      <c r="AB259" s="20">
        <f t="shared" si="8"/>
        <v>0</v>
      </c>
      <c r="AC259" s="15">
        <f t="shared" ref="AC259:AD259" si="523">AE259-AA259</f>
        <v>1</v>
      </c>
      <c r="AD259" s="20">
        <f t="shared" si="523"/>
        <v>1</v>
      </c>
      <c r="AE259" s="15">
        <v>1.0</v>
      </c>
      <c r="AF259" s="20">
        <f t="shared" si="10"/>
        <v>1</v>
      </c>
      <c r="AG259" s="15" t="e">
        <v>#N/A</v>
      </c>
      <c r="AH259" s="20" t="str">
        <f t="shared" si="11"/>
        <v>#N/A</v>
      </c>
      <c r="AI259" s="15">
        <v>1.0</v>
      </c>
      <c r="AJ259" s="15">
        <v>0.0</v>
      </c>
      <c r="AK259" s="21">
        <v>0.0</v>
      </c>
      <c r="AL259" s="22">
        <v>1.0</v>
      </c>
      <c r="AM259" s="15">
        <v>0.0</v>
      </c>
      <c r="AN259" s="15">
        <v>0.0</v>
      </c>
      <c r="AO259" s="23" t="s">
        <v>697</v>
      </c>
      <c r="AP259" s="23" t="s">
        <v>697</v>
      </c>
      <c r="AQ259" s="13" t="s">
        <v>93</v>
      </c>
      <c r="AR259" s="24" t="s">
        <v>66</v>
      </c>
      <c r="AS259" s="24"/>
      <c r="AT259" s="25" t="s">
        <v>867</v>
      </c>
      <c r="AU259" s="26" t="s">
        <v>118</v>
      </c>
      <c r="AV259" s="27"/>
      <c r="AW259" s="24" t="s">
        <v>133</v>
      </c>
      <c r="AX259" s="36">
        <v>46002.0</v>
      </c>
      <c r="AY259" s="29" t="s">
        <v>89</v>
      </c>
      <c r="AZ259" s="29"/>
      <c r="BA259" s="28"/>
      <c r="BB259" s="26" t="s">
        <v>90</v>
      </c>
      <c r="BC259" s="27"/>
      <c r="BD259" s="34" t="s">
        <v>91</v>
      </c>
      <c r="BE259" s="34"/>
      <c r="BF259" s="27"/>
      <c r="BG259" s="27"/>
      <c r="BH259" s="27"/>
    </row>
    <row r="260" ht="14.25" customHeight="1">
      <c r="A260" s="119" t="s">
        <v>868</v>
      </c>
      <c r="B260" s="119"/>
      <c r="C260" s="120"/>
      <c r="D260" s="14"/>
      <c r="E260" s="15"/>
      <c r="F260" s="15"/>
      <c r="G260" s="12"/>
      <c r="H260" s="16"/>
      <c r="I260" s="17">
        <v>1.0</v>
      </c>
      <c r="J260" s="18" t="s">
        <v>114</v>
      </c>
      <c r="K260" s="18" t="s">
        <v>270</v>
      </c>
      <c r="L260" s="18" t="s">
        <v>60</v>
      </c>
      <c r="M260" s="18" t="s">
        <v>60</v>
      </c>
      <c r="N260" s="18"/>
      <c r="O260" s="18" t="s">
        <v>60</v>
      </c>
      <c r="P260" s="18" t="s">
        <v>60</v>
      </c>
      <c r="Q260" s="19" t="s">
        <v>60</v>
      </c>
      <c r="R260" s="15">
        <f t="shared" si="3"/>
        <v>0</v>
      </c>
      <c r="S260" s="15">
        <v>8.0</v>
      </c>
      <c r="T260" s="15">
        <v>8.0</v>
      </c>
      <c r="U260" s="20">
        <f t="shared" si="4"/>
        <v>1</v>
      </c>
      <c r="V260" s="15">
        <f t="shared" si="5"/>
        <v>0</v>
      </c>
      <c r="W260" s="15">
        <v>8.0</v>
      </c>
      <c r="X260" s="20">
        <f t="shared" si="6"/>
        <v>1</v>
      </c>
      <c r="Y260" s="15">
        <f t="shared" ref="Y260:Z260" si="524">AE260-W260</f>
        <v>0</v>
      </c>
      <c r="Z260" s="20">
        <f t="shared" si="524"/>
        <v>0</v>
      </c>
      <c r="AA260" s="15">
        <v>8.0</v>
      </c>
      <c r="AB260" s="20">
        <f t="shared" si="8"/>
        <v>1</v>
      </c>
      <c r="AC260" s="15">
        <f t="shared" ref="AC260:AD260" si="525">AE260-AA260</f>
        <v>0</v>
      </c>
      <c r="AD260" s="20">
        <f t="shared" si="525"/>
        <v>0</v>
      </c>
      <c r="AE260" s="15">
        <v>8.0</v>
      </c>
      <c r="AF260" s="20">
        <f t="shared" si="10"/>
        <v>1</v>
      </c>
      <c r="AG260" s="15" t="e">
        <v>#N/A</v>
      </c>
      <c r="AH260" s="20" t="str">
        <f t="shared" si="11"/>
        <v>#N/A</v>
      </c>
      <c r="AI260" s="15">
        <v>8.0</v>
      </c>
      <c r="AJ260" s="15">
        <v>0.0</v>
      </c>
      <c r="AK260" s="21">
        <v>0.0</v>
      </c>
      <c r="AL260" s="22">
        <v>1.0</v>
      </c>
      <c r="AM260" s="15">
        <v>0.0</v>
      </c>
      <c r="AN260" s="15">
        <v>0.0</v>
      </c>
      <c r="AO260" s="23" t="s">
        <v>697</v>
      </c>
      <c r="AP260" s="23" t="s">
        <v>697</v>
      </c>
      <c r="AQ260" s="13" t="s">
        <v>108</v>
      </c>
      <c r="AR260" s="24" t="s">
        <v>66</v>
      </c>
      <c r="AS260" s="24"/>
      <c r="AT260" s="25" t="s">
        <v>869</v>
      </c>
      <c r="AU260" s="26" t="s">
        <v>68</v>
      </c>
      <c r="AV260" s="27"/>
      <c r="AW260" s="24" t="s">
        <v>100</v>
      </c>
      <c r="AX260" s="28"/>
      <c r="AY260" s="29" t="s">
        <v>70</v>
      </c>
      <c r="AZ260" s="30"/>
      <c r="BA260" s="25" t="s">
        <v>870</v>
      </c>
      <c r="BB260" s="26" t="s">
        <v>132</v>
      </c>
      <c r="BC260" s="27"/>
      <c r="BD260" s="24"/>
      <c r="BE260" s="27"/>
      <c r="BF260" s="27"/>
      <c r="BG260" s="27"/>
      <c r="BH260" s="27"/>
    </row>
    <row r="261" ht="14.25" customHeight="1">
      <c r="A261" s="119" t="s">
        <v>871</v>
      </c>
      <c r="B261" s="119"/>
      <c r="C261" s="120"/>
      <c r="D261" s="14"/>
      <c r="E261" s="15"/>
      <c r="F261" s="15"/>
      <c r="G261" s="12"/>
      <c r="H261" s="16"/>
      <c r="I261" s="17">
        <v>1.0</v>
      </c>
      <c r="J261" s="18" t="s">
        <v>114</v>
      </c>
      <c r="K261" s="18" t="s">
        <v>270</v>
      </c>
      <c r="L261" s="18" t="s">
        <v>60</v>
      </c>
      <c r="M261" s="18" t="s">
        <v>60</v>
      </c>
      <c r="N261" s="18"/>
      <c r="O261" s="18" t="s">
        <v>60</v>
      </c>
      <c r="P261" s="18" t="s">
        <v>60</v>
      </c>
      <c r="Q261" s="19" t="s">
        <v>60</v>
      </c>
      <c r="R261" s="15">
        <f t="shared" si="3"/>
        <v>0</v>
      </c>
      <c r="S261" s="15">
        <v>5.0</v>
      </c>
      <c r="T261" s="15">
        <v>5.0</v>
      </c>
      <c r="U261" s="20">
        <f t="shared" si="4"/>
        <v>1</v>
      </c>
      <c r="V261" s="15">
        <f t="shared" si="5"/>
        <v>0</v>
      </c>
      <c r="W261" s="15">
        <v>5.0</v>
      </c>
      <c r="X261" s="20">
        <f t="shared" si="6"/>
        <v>1</v>
      </c>
      <c r="Y261" s="15">
        <f t="shared" ref="Y261:Z261" si="526">AE261-W261</f>
        <v>0</v>
      </c>
      <c r="Z261" s="20">
        <f t="shared" si="526"/>
        <v>0</v>
      </c>
      <c r="AA261" s="15">
        <v>5.0</v>
      </c>
      <c r="AB261" s="20">
        <f t="shared" si="8"/>
        <v>1</v>
      </c>
      <c r="AC261" s="15">
        <f t="shared" ref="AC261:AD261" si="527">AE261-AA261</f>
        <v>0</v>
      </c>
      <c r="AD261" s="20">
        <f t="shared" si="527"/>
        <v>0</v>
      </c>
      <c r="AE261" s="15">
        <v>5.0</v>
      </c>
      <c r="AF261" s="20">
        <f t="shared" si="10"/>
        <v>1</v>
      </c>
      <c r="AG261" s="15" t="e">
        <v>#N/A</v>
      </c>
      <c r="AH261" s="20" t="str">
        <f t="shared" si="11"/>
        <v>#N/A</v>
      </c>
      <c r="AI261" s="15">
        <v>5.0</v>
      </c>
      <c r="AJ261" s="15">
        <v>0.0</v>
      </c>
      <c r="AK261" s="21">
        <v>0.0</v>
      </c>
      <c r="AL261" s="22">
        <v>1.0</v>
      </c>
      <c r="AM261" s="15">
        <v>0.0</v>
      </c>
      <c r="AN261" s="15">
        <v>0.0</v>
      </c>
      <c r="AO261" s="23" t="s">
        <v>697</v>
      </c>
      <c r="AP261" s="23" t="s">
        <v>697</v>
      </c>
      <c r="AQ261" s="13" t="s">
        <v>104</v>
      </c>
      <c r="AR261" s="24" t="s">
        <v>66</v>
      </c>
      <c r="AS261" s="24"/>
      <c r="AT261" s="52" t="s">
        <v>872</v>
      </c>
      <c r="AU261" s="26" t="s">
        <v>253</v>
      </c>
      <c r="AV261" s="36"/>
      <c r="AW261" s="24" t="s">
        <v>133</v>
      </c>
      <c r="AX261" s="36">
        <v>46002.0</v>
      </c>
      <c r="AY261" s="29" t="s">
        <v>254</v>
      </c>
      <c r="AZ261" s="32"/>
      <c r="BA261" s="25" t="s">
        <v>873</v>
      </c>
      <c r="BB261" s="26" t="s">
        <v>72</v>
      </c>
      <c r="BC261" s="24"/>
      <c r="BD261" s="24" t="s">
        <v>96</v>
      </c>
      <c r="BE261" s="28"/>
      <c r="BF261" s="27"/>
      <c r="BG261" s="27"/>
      <c r="BH261" s="27"/>
    </row>
    <row r="262" ht="14.25" customHeight="1">
      <c r="A262" s="119" t="s">
        <v>874</v>
      </c>
      <c r="B262" s="119"/>
      <c r="C262" s="120"/>
      <c r="D262" s="14"/>
      <c r="E262" s="15"/>
      <c r="F262" s="15"/>
      <c r="G262" s="12"/>
      <c r="H262" s="16"/>
      <c r="I262" s="17">
        <v>0.4</v>
      </c>
      <c r="J262" s="18"/>
      <c r="K262" s="18"/>
      <c r="L262" s="18" t="s">
        <v>84</v>
      </c>
      <c r="M262" s="18" t="s">
        <v>62</v>
      </c>
      <c r="N262" s="18"/>
      <c r="O262" s="18" t="s">
        <v>60</v>
      </c>
      <c r="P262" s="18" t="s">
        <v>60</v>
      </c>
      <c r="Q262" s="19" t="s">
        <v>60</v>
      </c>
      <c r="R262" s="15">
        <f t="shared" si="3"/>
        <v>0</v>
      </c>
      <c r="S262" s="15">
        <v>3.0</v>
      </c>
      <c r="T262" s="15">
        <v>1.0</v>
      </c>
      <c r="U262" s="20">
        <f t="shared" si="4"/>
        <v>0.3333333333</v>
      </c>
      <c r="V262" s="15">
        <f t="shared" si="5"/>
        <v>0</v>
      </c>
      <c r="W262" s="15">
        <v>1.0</v>
      </c>
      <c r="X262" s="20">
        <f t="shared" si="6"/>
        <v>0.3333333333</v>
      </c>
      <c r="Y262" s="15">
        <f t="shared" ref="Y262:Z262" si="528">AE262-W262</f>
        <v>0</v>
      </c>
      <c r="Z262" s="20">
        <f t="shared" si="528"/>
        <v>0</v>
      </c>
      <c r="AA262" s="15">
        <v>1.0</v>
      </c>
      <c r="AB262" s="20">
        <f t="shared" si="8"/>
        <v>0.3333333333</v>
      </c>
      <c r="AC262" s="15">
        <f t="shared" ref="AC262:AD262" si="529">AE262-AA262</f>
        <v>0</v>
      </c>
      <c r="AD262" s="20">
        <f t="shared" si="529"/>
        <v>0</v>
      </c>
      <c r="AE262" s="15">
        <v>1.0</v>
      </c>
      <c r="AF262" s="20">
        <f t="shared" si="10"/>
        <v>0.3333333333</v>
      </c>
      <c r="AG262" s="15" t="e">
        <v>#N/A</v>
      </c>
      <c r="AH262" s="20" t="str">
        <f t="shared" si="11"/>
        <v>#N/A</v>
      </c>
      <c r="AI262" s="15">
        <v>1.0</v>
      </c>
      <c r="AJ262" s="15">
        <v>0.0</v>
      </c>
      <c r="AK262" s="21">
        <v>0.0</v>
      </c>
      <c r="AL262" s="22">
        <v>0.333333333333333</v>
      </c>
      <c r="AM262" s="15">
        <v>0.0</v>
      </c>
      <c r="AN262" s="15">
        <v>2.0</v>
      </c>
      <c r="AO262" s="23" t="s">
        <v>697</v>
      </c>
      <c r="AP262" s="23" t="s">
        <v>697</v>
      </c>
      <c r="AQ262" s="13" t="s">
        <v>108</v>
      </c>
      <c r="AR262" s="24" t="s">
        <v>130</v>
      </c>
      <c r="AS262" s="24"/>
      <c r="AT262" s="25" t="s">
        <v>875</v>
      </c>
      <c r="AU262" s="26" t="s">
        <v>68</v>
      </c>
      <c r="AV262" s="27"/>
      <c r="AW262" s="24" t="s">
        <v>69</v>
      </c>
      <c r="AX262" s="28"/>
      <c r="AY262" s="29" t="s">
        <v>70</v>
      </c>
      <c r="AZ262" s="30"/>
      <c r="BA262" s="25" t="s">
        <v>876</v>
      </c>
      <c r="BB262" s="26" t="s">
        <v>877</v>
      </c>
      <c r="BC262" s="27"/>
      <c r="BD262" s="24" t="s">
        <v>112</v>
      </c>
      <c r="BE262" s="27"/>
      <c r="BF262" s="27"/>
      <c r="BG262" s="27"/>
      <c r="BH262" s="27"/>
    </row>
    <row r="263" ht="14.25" customHeight="1">
      <c r="A263" s="119" t="s">
        <v>878</v>
      </c>
      <c r="B263" s="119"/>
      <c r="C263" s="120"/>
      <c r="D263" s="14"/>
      <c r="E263" s="15"/>
      <c r="F263" s="15"/>
      <c r="G263" s="12"/>
      <c r="H263" s="16"/>
      <c r="I263" s="17">
        <v>0.0</v>
      </c>
      <c r="J263" s="18"/>
      <c r="K263" s="18"/>
      <c r="L263" s="18" t="s">
        <v>84</v>
      </c>
      <c r="M263" s="18" t="s">
        <v>264</v>
      </c>
      <c r="N263" s="18"/>
      <c r="O263" s="18" t="s">
        <v>84</v>
      </c>
      <c r="P263" s="18" t="s">
        <v>84</v>
      </c>
      <c r="Q263" s="18" t="s">
        <v>84</v>
      </c>
      <c r="R263" s="15">
        <f t="shared" si="3"/>
        <v>0</v>
      </c>
      <c r="S263" s="15">
        <v>5.0</v>
      </c>
      <c r="T263" s="15">
        <v>0.0</v>
      </c>
      <c r="U263" s="20">
        <f t="shared" si="4"/>
        <v>0</v>
      </c>
      <c r="V263" s="15">
        <f t="shared" si="5"/>
        <v>5</v>
      </c>
      <c r="W263" s="15">
        <v>0.0</v>
      </c>
      <c r="X263" s="20">
        <f t="shared" si="6"/>
        <v>0</v>
      </c>
      <c r="Y263" s="15">
        <f t="shared" ref="Y263:Z263" si="530">AE263-W263</f>
        <v>5</v>
      </c>
      <c r="Z263" s="20">
        <f t="shared" si="530"/>
        <v>1</v>
      </c>
      <c r="AA263" s="15">
        <v>0.0</v>
      </c>
      <c r="AB263" s="20">
        <f t="shared" si="8"/>
        <v>0</v>
      </c>
      <c r="AC263" s="15">
        <f t="shared" ref="AC263:AD263" si="531">AE263-AA263</f>
        <v>5</v>
      </c>
      <c r="AD263" s="20">
        <f t="shared" si="531"/>
        <v>1</v>
      </c>
      <c r="AE263" s="15">
        <v>5.0</v>
      </c>
      <c r="AF263" s="20">
        <f t="shared" si="10"/>
        <v>1</v>
      </c>
      <c r="AG263" s="15" t="e">
        <v>#N/A</v>
      </c>
      <c r="AH263" s="20" t="str">
        <f t="shared" si="11"/>
        <v>#N/A</v>
      </c>
      <c r="AI263" s="15">
        <v>5.0</v>
      </c>
      <c r="AJ263" s="15">
        <v>0.0</v>
      </c>
      <c r="AK263" s="21">
        <v>0.0</v>
      </c>
      <c r="AL263" s="22">
        <v>1.0</v>
      </c>
      <c r="AM263" s="15">
        <v>0.0</v>
      </c>
      <c r="AN263" s="15">
        <v>0.0</v>
      </c>
      <c r="AO263" s="23" t="s">
        <v>697</v>
      </c>
      <c r="AP263" s="23" t="s">
        <v>697</v>
      </c>
      <c r="AQ263" s="13" t="s">
        <v>77</v>
      </c>
      <c r="AR263" s="24" t="s">
        <v>66</v>
      </c>
      <c r="AS263" s="24"/>
      <c r="AT263" s="25" t="s">
        <v>879</v>
      </c>
      <c r="AU263" s="26" t="s">
        <v>88</v>
      </c>
      <c r="AV263" s="27"/>
      <c r="AW263" s="24" t="s">
        <v>69</v>
      </c>
      <c r="AX263" s="27"/>
      <c r="AY263" s="29" t="s">
        <v>89</v>
      </c>
      <c r="AZ263" s="29"/>
      <c r="BA263" s="28"/>
      <c r="BB263" s="26" t="s">
        <v>90</v>
      </c>
      <c r="BC263" s="27"/>
      <c r="BD263" s="34" t="s">
        <v>91</v>
      </c>
      <c r="BE263" s="34"/>
      <c r="BF263" s="27"/>
      <c r="BG263" s="27"/>
      <c r="BH263" s="27"/>
    </row>
    <row r="264" ht="14.25" customHeight="1">
      <c r="A264" s="119" t="s">
        <v>880</v>
      </c>
      <c r="B264" s="119"/>
      <c r="C264" s="120"/>
      <c r="D264" s="14"/>
      <c r="E264" s="15"/>
      <c r="F264" s="19"/>
      <c r="G264" s="12"/>
      <c r="H264" s="18"/>
      <c r="I264" s="17">
        <v>0.1</v>
      </c>
      <c r="J264" s="18"/>
      <c r="K264" s="18" t="s">
        <v>62</v>
      </c>
      <c r="L264" s="18" t="s">
        <v>62</v>
      </c>
      <c r="M264" s="18" t="s">
        <v>62</v>
      </c>
      <c r="N264" s="18"/>
      <c r="O264" s="18" t="s">
        <v>60</v>
      </c>
      <c r="P264" s="18" t="s">
        <v>60</v>
      </c>
      <c r="Q264" s="19" t="s">
        <v>60</v>
      </c>
      <c r="R264" s="15">
        <f t="shared" si="3"/>
        <v>0</v>
      </c>
      <c r="S264" s="15">
        <v>5.0</v>
      </c>
      <c r="T264" s="15">
        <v>1.0</v>
      </c>
      <c r="U264" s="20">
        <f t="shared" si="4"/>
        <v>0.2</v>
      </c>
      <c r="V264" s="15">
        <f t="shared" si="5"/>
        <v>2</v>
      </c>
      <c r="W264" s="15">
        <v>3.0</v>
      </c>
      <c r="X264" s="20">
        <f t="shared" si="6"/>
        <v>0.6</v>
      </c>
      <c r="Y264" s="15">
        <f t="shared" ref="Y264:Z264" si="532">AE264-W264</f>
        <v>0</v>
      </c>
      <c r="Z264" s="20">
        <f t="shared" si="532"/>
        <v>0</v>
      </c>
      <c r="AA264" s="15">
        <v>3.0</v>
      </c>
      <c r="AB264" s="20">
        <f t="shared" si="8"/>
        <v>0.6</v>
      </c>
      <c r="AC264" s="15">
        <f t="shared" ref="AC264:AD264" si="533">AE264-AA264</f>
        <v>0</v>
      </c>
      <c r="AD264" s="20">
        <f t="shared" si="533"/>
        <v>0</v>
      </c>
      <c r="AE264" s="15">
        <v>3.0</v>
      </c>
      <c r="AF264" s="20">
        <f t="shared" si="10"/>
        <v>0.6</v>
      </c>
      <c r="AG264" s="15" t="e">
        <v>#N/A</v>
      </c>
      <c r="AH264" s="20" t="str">
        <f t="shared" si="11"/>
        <v>#N/A</v>
      </c>
      <c r="AI264" s="15">
        <v>3.0</v>
      </c>
      <c r="AJ264" s="15">
        <v>0.0</v>
      </c>
      <c r="AK264" s="21">
        <v>0.0</v>
      </c>
      <c r="AL264" s="22">
        <v>0.6</v>
      </c>
      <c r="AM264" s="15">
        <v>2.0</v>
      </c>
      <c r="AN264" s="15">
        <v>2.0</v>
      </c>
      <c r="AO264" s="23" t="s">
        <v>697</v>
      </c>
      <c r="AP264" s="23" t="s">
        <v>697</v>
      </c>
      <c r="AQ264" s="13" t="s">
        <v>77</v>
      </c>
      <c r="AR264" s="24" t="s">
        <v>66</v>
      </c>
      <c r="AS264" s="24"/>
      <c r="AT264" s="25" t="s">
        <v>881</v>
      </c>
      <c r="AU264" s="26" t="s">
        <v>407</v>
      </c>
      <c r="AV264" s="27"/>
      <c r="AW264" s="24" t="s">
        <v>133</v>
      </c>
      <c r="AX264" s="25" t="s">
        <v>882</v>
      </c>
      <c r="AY264" s="29" t="s">
        <v>70</v>
      </c>
      <c r="AZ264" s="30"/>
      <c r="BA264" s="25" t="s">
        <v>883</v>
      </c>
      <c r="BB264" s="26" t="s">
        <v>495</v>
      </c>
      <c r="BC264" s="27"/>
      <c r="BD264" s="24"/>
      <c r="BE264" s="27"/>
      <c r="BF264" s="27"/>
      <c r="BG264" s="27"/>
      <c r="BH264" s="27"/>
    </row>
    <row r="265" ht="14.25" customHeight="1">
      <c r="A265" s="119" t="s">
        <v>884</v>
      </c>
      <c r="B265" s="119"/>
      <c r="C265" s="120"/>
      <c r="D265" s="14"/>
      <c r="E265" s="15"/>
      <c r="F265" s="15"/>
      <c r="G265" s="12"/>
      <c r="H265" s="16"/>
      <c r="I265" s="17">
        <v>0.0</v>
      </c>
      <c r="J265" s="18"/>
      <c r="K265" s="18"/>
      <c r="L265" s="18" t="s">
        <v>84</v>
      </c>
      <c r="M265" s="18" t="s">
        <v>84</v>
      </c>
      <c r="N265" s="18"/>
      <c r="O265" s="18" t="s">
        <v>84</v>
      </c>
      <c r="P265" s="18" t="s">
        <v>84</v>
      </c>
      <c r="Q265" s="18" t="s">
        <v>84</v>
      </c>
      <c r="R265" s="15">
        <f t="shared" si="3"/>
        <v>0</v>
      </c>
      <c r="S265" s="15">
        <v>10.0</v>
      </c>
      <c r="T265" s="15">
        <v>0.0</v>
      </c>
      <c r="U265" s="20">
        <f t="shared" si="4"/>
        <v>0</v>
      </c>
      <c r="V265" s="15">
        <f t="shared" si="5"/>
        <v>3</v>
      </c>
      <c r="W265" s="15">
        <v>0.0</v>
      </c>
      <c r="X265" s="20">
        <f t="shared" si="6"/>
        <v>0</v>
      </c>
      <c r="Y265" s="15">
        <f t="shared" ref="Y265:Z265" si="534">AE265-W265</f>
        <v>3</v>
      </c>
      <c r="Z265" s="20">
        <f t="shared" si="534"/>
        <v>0.3</v>
      </c>
      <c r="AA265" s="15">
        <v>2.0</v>
      </c>
      <c r="AB265" s="20">
        <f t="shared" si="8"/>
        <v>0.2</v>
      </c>
      <c r="AC265" s="15">
        <f t="shared" ref="AC265:AD265" si="535">AE265-AA265</f>
        <v>1</v>
      </c>
      <c r="AD265" s="20">
        <f t="shared" si="535"/>
        <v>0.1</v>
      </c>
      <c r="AE265" s="15">
        <v>3.0</v>
      </c>
      <c r="AF265" s="20">
        <f t="shared" si="10"/>
        <v>0.3</v>
      </c>
      <c r="AG265" s="15" t="e">
        <v>#N/A</v>
      </c>
      <c r="AH265" s="20" t="str">
        <f t="shared" si="11"/>
        <v>#N/A</v>
      </c>
      <c r="AI265" s="15">
        <v>3.0</v>
      </c>
      <c r="AJ265" s="15">
        <v>0.0</v>
      </c>
      <c r="AK265" s="21">
        <v>0.0</v>
      </c>
      <c r="AL265" s="22">
        <v>0.3</v>
      </c>
      <c r="AM265" s="15">
        <v>0.0</v>
      </c>
      <c r="AN265" s="15">
        <v>7.0</v>
      </c>
      <c r="AO265" s="23" t="s">
        <v>697</v>
      </c>
      <c r="AP265" s="23" t="s">
        <v>697</v>
      </c>
      <c r="AQ265" s="13" t="s">
        <v>104</v>
      </c>
      <c r="AR265" s="24" t="s">
        <v>130</v>
      </c>
      <c r="AS265" s="24"/>
      <c r="AT265" s="25" t="s">
        <v>885</v>
      </c>
      <c r="AU265" s="26" t="s">
        <v>88</v>
      </c>
      <c r="AV265" s="27"/>
      <c r="AW265" s="24" t="s">
        <v>100</v>
      </c>
      <c r="AX265" s="28"/>
      <c r="AY265" s="29" t="s">
        <v>89</v>
      </c>
      <c r="AZ265" s="29"/>
      <c r="BA265" s="28"/>
      <c r="BB265" s="26" t="s">
        <v>90</v>
      </c>
      <c r="BC265" s="27"/>
      <c r="BD265" s="34" t="s">
        <v>91</v>
      </c>
      <c r="BE265" s="34"/>
      <c r="BF265" s="27"/>
      <c r="BG265" s="27"/>
      <c r="BH265" s="27"/>
    </row>
    <row r="266" ht="14.25" customHeight="1">
      <c r="A266" s="119" t="s">
        <v>886</v>
      </c>
      <c r="B266" s="119"/>
      <c r="C266" s="120"/>
      <c r="D266" s="14"/>
      <c r="E266" s="15"/>
      <c r="F266" s="15"/>
      <c r="G266" s="12"/>
      <c r="H266" s="16"/>
      <c r="I266" s="17">
        <v>1.0</v>
      </c>
      <c r="J266" s="18" t="s">
        <v>114</v>
      </c>
      <c r="K266" s="18" t="s">
        <v>270</v>
      </c>
      <c r="L266" s="18" t="s">
        <v>60</v>
      </c>
      <c r="M266" s="18" t="s">
        <v>60</v>
      </c>
      <c r="N266" s="18"/>
      <c r="O266" s="18" t="s">
        <v>60</v>
      </c>
      <c r="P266" s="18" t="s">
        <v>60</v>
      </c>
      <c r="Q266" s="19" t="s">
        <v>60</v>
      </c>
      <c r="R266" s="15">
        <f t="shared" si="3"/>
        <v>0</v>
      </c>
      <c r="S266" s="15">
        <v>3.0</v>
      </c>
      <c r="T266" s="15">
        <v>3.0</v>
      </c>
      <c r="U266" s="20">
        <f t="shared" si="4"/>
        <v>1</v>
      </c>
      <c r="V266" s="15">
        <f t="shared" si="5"/>
        <v>0</v>
      </c>
      <c r="W266" s="15">
        <v>3.0</v>
      </c>
      <c r="X266" s="20">
        <f t="shared" si="6"/>
        <v>1</v>
      </c>
      <c r="Y266" s="15">
        <f t="shared" ref="Y266:Z266" si="536">AE266-W266</f>
        <v>0</v>
      </c>
      <c r="Z266" s="20">
        <f t="shared" si="536"/>
        <v>0</v>
      </c>
      <c r="AA266" s="15">
        <v>3.0</v>
      </c>
      <c r="AB266" s="20">
        <f t="shared" si="8"/>
        <v>1</v>
      </c>
      <c r="AC266" s="15">
        <f t="shared" ref="AC266:AD266" si="537">AE266-AA266</f>
        <v>0</v>
      </c>
      <c r="AD266" s="20">
        <f t="shared" si="537"/>
        <v>0</v>
      </c>
      <c r="AE266" s="15">
        <v>3.0</v>
      </c>
      <c r="AF266" s="20">
        <f t="shared" si="10"/>
        <v>1</v>
      </c>
      <c r="AG266" s="15" t="e">
        <v>#N/A</v>
      </c>
      <c r="AH266" s="20" t="str">
        <f t="shared" si="11"/>
        <v>#N/A</v>
      </c>
      <c r="AI266" s="15">
        <v>3.0</v>
      </c>
      <c r="AJ266" s="15">
        <v>0.0</v>
      </c>
      <c r="AK266" s="21">
        <v>0.0</v>
      </c>
      <c r="AL266" s="22">
        <v>1.0</v>
      </c>
      <c r="AM266" s="15">
        <v>0.0</v>
      </c>
      <c r="AN266" s="15">
        <v>0.0</v>
      </c>
      <c r="AO266" s="23" t="s">
        <v>697</v>
      </c>
      <c r="AP266" s="23" t="s">
        <v>697</v>
      </c>
      <c r="AQ266" s="13" t="s">
        <v>104</v>
      </c>
      <c r="AR266" s="24" t="s">
        <v>66</v>
      </c>
      <c r="AS266" s="24"/>
      <c r="AT266" s="25" t="s">
        <v>887</v>
      </c>
      <c r="AU266" s="26" t="s">
        <v>68</v>
      </c>
      <c r="AV266" s="27"/>
      <c r="AW266" s="24" t="s">
        <v>69</v>
      </c>
      <c r="AX266" s="28"/>
      <c r="AY266" s="29" t="s">
        <v>70</v>
      </c>
      <c r="AZ266" s="30"/>
      <c r="BA266" s="25" t="s">
        <v>888</v>
      </c>
      <c r="BB266" s="26" t="s">
        <v>386</v>
      </c>
      <c r="BC266" s="27"/>
      <c r="BD266" s="24"/>
      <c r="BE266" s="27"/>
      <c r="BF266" s="27"/>
      <c r="BG266" s="27"/>
      <c r="BH266" s="27"/>
    </row>
    <row r="267" ht="14.25" customHeight="1">
      <c r="A267" s="12" t="s">
        <v>889</v>
      </c>
      <c r="B267" s="12"/>
      <c r="C267" s="13"/>
      <c r="D267" s="14"/>
      <c r="E267" s="15"/>
      <c r="F267" s="15"/>
      <c r="G267" s="12"/>
      <c r="H267" s="16"/>
      <c r="I267" s="17">
        <v>0.0</v>
      </c>
      <c r="J267" s="18"/>
      <c r="K267" s="18"/>
      <c r="L267" s="18" t="s">
        <v>84</v>
      </c>
      <c r="M267" s="18" t="s">
        <v>84</v>
      </c>
      <c r="N267" s="18"/>
      <c r="O267" s="18" t="s">
        <v>84</v>
      </c>
      <c r="P267" s="18" t="s">
        <v>84</v>
      </c>
      <c r="Q267" s="18" t="s">
        <v>86</v>
      </c>
      <c r="R267" s="15">
        <f t="shared" si="3"/>
        <v>0</v>
      </c>
      <c r="S267" s="15">
        <v>14.0</v>
      </c>
      <c r="T267" s="15">
        <v>0.0</v>
      </c>
      <c r="U267" s="20">
        <f t="shared" si="4"/>
        <v>0</v>
      </c>
      <c r="V267" s="15">
        <f t="shared" si="5"/>
        <v>14</v>
      </c>
      <c r="W267" s="15">
        <v>0.0</v>
      </c>
      <c r="X267" s="20">
        <f t="shared" si="6"/>
        <v>0</v>
      </c>
      <c r="Y267" s="15">
        <f t="shared" ref="Y267:Z267" si="538">AE267-W267</f>
        <v>14</v>
      </c>
      <c r="Z267" s="20">
        <f t="shared" si="538"/>
        <v>1</v>
      </c>
      <c r="AA267" s="15">
        <v>0.0</v>
      </c>
      <c r="AB267" s="20">
        <f t="shared" si="8"/>
        <v>0</v>
      </c>
      <c r="AC267" s="15">
        <f t="shared" ref="AC267:AD267" si="539">AE267-AA267</f>
        <v>14</v>
      </c>
      <c r="AD267" s="20">
        <f t="shared" si="539"/>
        <v>1</v>
      </c>
      <c r="AE267" s="15">
        <v>14.0</v>
      </c>
      <c r="AF267" s="20">
        <f t="shared" si="10"/>
        <v>1</v>
      </c>
      <c r="AG267" s="15" t="e">
        <v>#N/A</v>
      </c>
      <c r="AH267" s="20" t="str">
        <f t="shared" si="11"/>
        <v>#N/A</v>
      </c>
      <c r="AI267" s="15">
        <v>14.0</v>
      </c>
      <c r="AJ267" s="15">
        <v>0.0</v>
      </c>
      <c r="AK267" s="21">
        <v>0.0</v>
      </c>
      <c r="AL267" s="22">
        <v>1.0</v>
      </c>
      <c r="AM267" s="15">
        <v>0.0</v>
      </c>
      <c r="AN267" s="15">
        <v>0.0</v>
      </c>
      <c r="AO267" s="23" t="s">
        <v>697</v>
      </c>
      <c r="AP267" s="23" t="s">
        <v>697</v>
      </c>
      <c r="AQ267" s="13" t="s">
        <v>93</v>
      </c>
      <c r="AR267" s="24" t="s">
        <v>66</v>
      </c>
      <c r="AS267" s="24"/>
      <c r="AT267" s="25" t="s">
        <v>890</v>
      </c>
      <c r="AU267" s="26" t="s">
        <v>68</v>
      </c>
      <c r="AV267" s="36"/>
      <c r="AW267" s="24" t="s">
        <v>69</v>
      </c>
      <c r="AX267" s="28"/>
      <c r="AY267" s="29" t="s">
        <v>89</v>
      </c>
      <c r="AZ267" s="29"/>
      <c r="BA267" s="28"/>
      <c r="BB267" s="26" t="s">
        <v>90</v>
      </c>
      <c r="BC267" s="27"/>
      <c r="BD267" s="34" t="s">
        <v>91</v>
      </c>
      <c r="BE267" s="34"/>
      <c r="BF267" s="27"/>
      <c r="BG267" s="27"/>
      <c r="BH267" s="27"/>
    </row>
    <row r="268" ht="14.25" customHeight="1">
      <c r="A268" s="12" t="s">
        <v>891</v>
      </c>
      <c r="B268" s="12"/>
      <c r="C268" s="13"/>
      <c r="D268" s="14"/>
      <c r="E268" s="15"/>
      <c r="F268" s="15"/>
      <c r="G268" s="12"/>
      <c r="H268" s="16"/>
      <c r="I268" s="17">
        <v>0.0</v>
      </c>
      <c r="J268" s="18"/>
      <c r="K268" s="18"/>
      <c r="L268" s="18" t="s">
        <v>84</v>
      </c>
      <c r="M268" s="18" t="s">
        <v>84</v>
      </c>
      <c r="N268" s="18"/>
      <c r="O268" s="18" t="s">
        <v>60</v>
      </c>
      <c r="P268" s="18" t="s">
        <v>60</v>
      </c>
      <c r="Q268" s="19" t="s">
        <v>60</v>
      </c>
      <c r="R268" s="15">
        <f t="shared" si="3"/>
        <v>0</v>
      </c>
      <c r="S268" s="15">
        <v>16.0</v>
      </c>
      <c r="T268" s="15">
        <v>0.0</v>
      </c>
      <c r="U268" s="20">
        <f t="shared" si="4"/>
        <v>0</v>
      </c>
      <c r="V268" s="15">
        <f t="shared" si="5"/>
        <v>16</v>
      </c>
      <c r="W268" s="15">
        <v>2.0</v>
      </c>
      <c r="X268" s="20">
        <f t="shared" si="6"/>
        <v>0.125</v>
      </c>
      <c r="Y268" s="15">
        <f t="shared" ref="Y268:Z268" si="540">AE268-W268</f>
        <v>0</v>
      </c>
      <c r="Z268" s="20">
        <f t="shared" si="540"/>
        <v>0</v>
      </c>
      <c r="AA268" s="15">
        <v>2.0</v>
      </c>
      <c r="AB268" s="20">
        <f t="shared" si="8"/>
        <v>0.125</v>
      </c>
      <c r="AC268" s="15">
        <f t="shared" ref="AC268:AD268" si="541">AE268-AA268</f>
        <v>0</v>
      </c>
      <c r="AD268" s="20">
        <f t="shared" si="541"/>
        <v>0</v>
      </c>
      <c r="AE268" s="15">
        <v>2.0</v>
      </c>
      <c r="AF268" s="20">
        <f t="shared" si="10"/>
        <v>0.125</v>
      </c>
      <c r="AG268" s="15" t="e">
        <v>#N/A</v>
      </c>
      <c r="AH268" s="20" t="str">
        <f t="shared" si="11"/>
        <v>#N/A</v>
      </c>
      <c r="AI268" s="15">
        <v>16.0</v>
      </c>
      <c r="AJ268" s="15">
        <v>0.0</v>
      </c>
      <c r="AK268" s="21">
        <v>0.0</v>
      </c>
      <c r="AL268" s="22">
        <v>1.0</v>
      </c>
      <c r="AM268" s="15">
        <v>0.0</v>
      </c>
      <c r="AN268" s="15">
        <v>0.0</v>
      </c>
      <c r="AO268" s="23" t="s">
        <v>697</v>
      </c>
      <c r="AP268" s="23" t="s">
        <v>806</v>
      </c>
      <c r="AQ268" s="13" t="s">
        <v>104</v>
      </c>
      <c r="AR268" s="24" t="s">
        <v>66</v>
      </c>
      <c r="AS268" s="24"/>
      <c r="AT268" s="25" t="s">
        <v>892</v>
      </c>
      <c r="AU268" s="26" t="s">
        <v>68</v>
      </c>
      <c r="AV268" s="27"/>
      <c r="AW268" s="24" t="s">
        <v>100</v>
      </c>
      <c r="AX268" s="28"/>
      <c r="AY268" s="29" t="s">
        <v>70</v>
      </c>
      <c r="AZ268" s="30"/>
      <c r="BA268" s="25" t="s">
        <v>893</v>
      </c>
      <c r="BB268" s="26" t="s">
        <v>90</v>
      </c>
      <c r="BC268" s="27"/>
      <c r="BD268" s="24"/>
      <c r="BE268" s="27"/>
      <c r="BF268" s="27"/>
      <c r="BG268" s="27"/>
      <c r="BH268" s="27"/>
    </row>
    <row r="269" ht="14.25" customHeight="1">
      <c r="A269" s="119" t="s">
        <v>894</v>
      </c>
      <c r="B269" s="119"/>
      <c r="C269" s="120"/>
      <c r="D269" s="14"/>
      <c r="E269" s="15"/>
      <c r="F269" s="15"/>
      <c r="G269" s="12"/>
      <c r="H269" s="16"/>
      <c r="I269" s="17">
        <v>0.5</v>
      </c>
      <c r="J269" s="18"/>
      <c r="K269" s="18" t="s">
        <v>84</v>
      </c>
      <c r="L269" s="18" t="s">
        <v>62</v>
      </c>
      <c r="M269" s="18" t="s">
        <v>264</v>
      </c>
      <c r="N269" s="18"/>
      <c r="O269" s="18" t="s">
        <v>84</v>
      </c>
      <c r="P269" s="18" t="s">
        <v>84</v>
      </c>
      <c r="Q269" s="18" t="s">
        <v>84</v>
      </c>
      <c r="R269" s="15">
        <f t="shared" si="3"/>
        <v>0</v>
      </c>
      <c r="S269" s="15">
        <v>1.0</v>
      </c>
      <c r="T269" s="15">
        <v>0.0</v>
      </c>
      <c r="U269" s="20">
        <f t="shared" si="4"/>
        <v>0</v>
      </c>
      <c r="V269" s="15">
        <f t="shared" si="5"/>
        <v>1</v>
      </c>
      <c r="W269" s="15">
        <v>0.0</v>
      </c>
      <c r="X269" s="20">
        <f t="shared" si="6"/>
        <v>0</v>
      </c>
      <c r="Y269" s="15">
        <f t="shared" ref="Y269:Z269" si="542">AE269-W269</f>
        <v>1</v>
      </c>
      <c r="Z269" s="20">
        <f t="shared" si="542"/>
        <v>1</v>
      </c>
      <c r="AA269" s="15">
        <v>0.0</v>
      </c>
      <c r="AB269" s="20">
        <f t="shared" si="8"/>
        <v>0</v>
      </c>
      <c r="AC269" s="15">
        <f t="shared" ref="AC269:AD269" si="543">AE269-AA269</f>
        <v>1</v>
      </c>
      <c r="AD269" s="20">
        <f t="shared" si="543"/>
        <v>1</v>
      </c>
      <c r="AE269" s="15">
        <v>1.0</v>
      </c>
      <c r="AF269" s="20">
        <f t="shared" si="10"/>
        <v>1</v>
      </c>
      <c r="AG269" s="15" t="e">
        <v>#N/A</v>
      </c>
      <c r="AH269" s="20" t="str">
        <f t="shared" si="11"/>
        <v>#N/A</v>
      </c>
      <c r="AI269" s="15">
        <v>1.0</v>
      </c>
      <c r="AJ269" s="15">
        <v>0.0</v>
      </c>
      <c r="AK269" s="21">
        <v>0.0</v>
      </c>
      <c r="AL269" s="22">
        <v>1.0</v>
      </c>
      <c r="AM269" s="15">
        <v>0.0</v>
      </c>
      <c r="AN269" s="15">
        <v>0.0</v>
      </c>
      <c r="AO269" s="23" t="s">
        <v>697</v>
      </c>
      <c r="AP269" s="23" t="s">
        <v>697</v>
      </c>
      <c r="AQ269" s="13" t="s">
        <v>93</v>
      </c>
      <c r="AR269" s="24" t="s">
        <v>66</v>
      </c>
      <c r="AS269" s="24"/>
      <c r="AT269" s="25" t="s">
        <v>895</v>
      </c>
      <c r="AU269" s="26" t="s">
        <v>68</v>
      </c>
      <c r="AV269" s="27"/>
      <c r="AW269" s="24" t="s">
        <v>69</v>
      </c>
      <c r="AX269" s="27"/>
      <c r="AY269" s="29" t="s">
        <v>499</v>
      </c>
      <c r="AZ269" s="32"/>
      <c r="BA269" s="25" t="s">
        <v>896</v>
      </c>
      <c r="BB269" s="26" t="s">
        <v>129</v>
      </c>
      <c r="BC269" s="27"/>
      <c r="BD269" s="34" t="s">
        <v>91</v>
      </c>
      <c r="BE269" s="34"/>
      <c r="BF269" s="27"/>
      <c r="BG269" s="27"/>
      <c r="BH269" s="27"/>
    </row>
    <row r="270" ht="14.25" customHeight="1">
      <c r="A270" s="119" t="s">
        <v>897</v>
      </c>
      <c r="B270" s="119"/>
      <c r="C270" s="120"/>
      <c r="D270" s="14"/>
      <c r="E270" s="15"/>
      <c r="F270" s="15"/>
      <c r="G270" s="12"/>
      <c r="H270" s="16"/>
      <c r="I270" s="17">
        <v>0.0</v>
      </c>
      <c r="J270" s="18"/>
      <c r="K270" s="18"/>
      <c r="L270" s="18" t="s">
        <v>84</v>
      </c>
      <c r="M270" s="18" t="s">
        <v>84</v>
      </c>
      <c r="N270" s="18"/>
      <c r="O270" s="18" t="s">
        <v>898</v>
      </c>
      <c r="P270" s="18" t="s">
        <v>898</v>
      </c>
      <c r="Q270" s="18" t="s">
        <v>898</v>
      </c>
      <c r="R270" s="15">
        <f t="shared" si="3"/>
        <v>0</v>
      </c>
      <c r="S270" s="15">
        <v>3.0</v>
      </c>
      <c r="T270" s="15">
        <v>0.0</v>
      </c>
      <c r="U270" s="20">
        <f t="shared" si="4"/>
        <v>0</v>
      </c>
      <c r="V270" s="15">
        <f t="shared" si="5"/>
        <v>3</v>
      </c>
      <c r="W270" s="15">
        <v>0.0</v>
      </c>
      <c r="X270" s="20">
        <f t="shared" si="6"/>
        <v>0</v>
      </c>
      <c r="Y270" s="15">
        <f t="shared" ref="Y270:Z270" si="544">AE270-W270</f>
        <v>3</v>
      </c>
      <c r="Z270" s="20">
        <f t="shared" si="544"/>
        <v>1</v>
      </c>
      <c r="AA270" s="15">
        <v>0.0</v>
      </c>
      <c r="AB270" s="20">
        <f t="shared" si="8"/>
        <v>0</v>
      </c>
      <c r="AC270" s="15">
        <f t="shared" ref="AC270:AD270" si="545">AE270-AA270</f>
        <v>3</v>
      </c>
      <c r="AD270" s="20">
        <f t="shared" si="545"/>
        <v>1</v>
      </c>
      <c r="AE270" s="15">
        <v>3.0</v>
      </c>
      <c r="AF270" s="20">
        <f t="shared" si="10"/>
        <v>1</v>
      </c>
      <c r="AG270" s="15" t="e">
        <v>#N/A</v>
      </c>
      <c r="AH270" s="20" t="str">
        <f t="shared" si="11"/>
        <v>#N/A</v>
      </c>
      <c r="AI270" s="15">
        <v>3.0</v>
      </c>
      <c r="AJ270" s="15">
        <v>0.0</v>
      </c>
      <c r="AK270" s="21">
        <v>0.0</v>
      </c>
      <c r="AL270" s="22">
        <v>1.0</v>
      </c>
      <c r="AM270" s="15">
        <v>0.0</v>
      </c>
      <c r="AN270" s="15">
        <v>0.0</v>
      </c>
      <c r="AO270" s="23" t="s">
        <v>697</v>
      </c>
      <c r="AP270" s="23" t="s">
        <v>697</v>
      </c>
      <c r="AQ270" s="13" t="s">
        <v>93</v>
      </c>
      <c r="AR270" s="24" t="s">
        <v>66</v>
      </c>
      <c r="AS270" s="24"/>
      <c r="AT270" s="25" t="s">
        <v>899</v>
      </c>
      <c r="AU270" s="26" t="s">
        <v>106</v>
      </c>
      <c r="AV270" s="27"/>
      <c r="AW270" s="27"/>
      <c r="AX270" s="28"/>
      <c r="AY270" s="29" t="s">
        <v>89</v>
      </c>
      <c r="AZ270" s="29"/>
      <c r="BA270" s="28"/>
      <c r="BB270" s="26" t="s">
        <v>90</v>
      </c>
      <c r="BC270" s="27"/>
      <c r="BD270" s="34" t="s">
        <v>91</v>
      </c>
      <c r="BE270" s="34"/>
      <c r="BF270" s="27"/>
      <c r="BG270" s="27"/>
      <c r="BH270" s="27"/>
    </row>
    <row r="271" ht="14.25" customHeight="1">
      <c r="A271" s="119" t="s">
        <v>900</v>
      </c>
      <c r="B271" s="119"/>
      <c r="C271" s="120"/>
      <c r="D271" s="14"/>
      <c r="E271" s="15"/>
      <c r="F271" s="15"/>
      <c r="G271" s="12"/>
      <c r="H271" s="16"/>
      <c r="I271" s="17">
        <v>0.0</v>
      </c>
      <c r="J271" s="18"/>
      <c r="K271" s="18"/>
      <c r="L271" s="18" t="s">
        <v>84</v>
      </c>
      <c r="M271" s="18" t="s">
        <v>84</v>
      </c>
      <c r="N271" s="18"/>
      <c r="O271" s="18" t="s">
        <v>84</v>
      </c>
      <c r="P271" s="19" t="s">
        <v>84</v>
      </c>
      <c r="Q271" s="19" t="s">
        <v>86</v>
      </c>
      <c r="R271" s="15">
        <f t="shared" si="3"/>
        <v>0</v>
      </c>
      <c r="S271" s="15">
        <v>4.0</v>
      </c>
      <c r="T271" s="15">
        <v>0.0</v>
      </c>
      <c r="U271" s="20">
        <f t="shared" si="4"/>
        <v>0</v>
      </c>
      <c r="V271" s="15">
        <f t="shared" si="5"/>
        <v>2</v>
      </c>
      <c r="W271" s="15">
        <v>0.0</v>
      </c>
      <c r="X271" s="20">
        <f t="shared" si="6"/>
        <v>0</v>
      </c>
      <c r="Y271" s="15">
        <f t="shared" ref="Y271:Z271" si="546">AE271-W271</f>
        <v>2</v>
      </c>
      <c r="Z271" s="20">
        <f t="shared" si="546"/>
        <v>0.5</v>
      </c>
      <c r="AA271" s="15">
        <v>0.0</v>
      </c>
      <c r="AB271" s="20">
        <f t="shared" si="8"/>
        <v>0</v>
      </c>
      <c r="AC271" s="15">
        <f t="shared" ref="AC271:AD271" si="547">AE271-AA271</f>
        <v>2</v>
      </c>
      <c r="AD271" s="20">
        <f t="shared" si="547"/>
        <v>0.5</v>
      </c>
      <c r="AE271" s="15">
        <v>2.0</v>
      </c>
      <c r="AF271" s="20">
        <f t="shared" si="10"/>
        <v>0.5</v>
      </c>
      <c r="AG271" s="15" t="e">
        <v>#N/A</v>
      </c>
      <c r="AH271" s="20" t="str">
        <f t="shared" si="11"/>
        <v>#N/A</v>
      </c>
      <c r="AI271" s="15">
        <v>2.0</v>
      </c>
      <c r="AJ271" s="15">
        <v>0.0</v>
      </c>
      <c r="AK271" s="21">
        <v>0.0</v>
      </c>
      <c r="AL271" s="22">
        <v>0.5</v>
      </c>
      <c r="AM271" s="15">
        <v>2.0</v>
      </c>
      <c r="AN271" s="15">
        <v>2.0</v>
      </c>
      <c r="AO271" s="23" t="s">
        <v>697</v>
      </c>
      <c r="AP271" s="23" t="s">
        <v>697</v>
      </c>
      <c r="AQ271" s="13" t="s">
        <v>77</v>
      </c>
      <c r="AR271" s="24" t="s">
        <v>66</v>
      </c>
      <c r="AS271" s="24"/>
      <c r="AT271" s="25" t="s">
        <v>901</v>
      </c>
      <c r="AU271" s="26" t="s">
        <v>902</v>
      </c>
      <c r="AV271" s="27"/>
      <c r="AW271" s="27"/>
      <c r="AX271" s="28"/>
      <c r="AY271" s="29" t="s">
        <v>89</v>
      </c>
      <c r="AZ271" s="29"/>
      <c r="BA271" s="28"/>
      <c r="BB271" s="26" t="s">
        <v>90</v>
      </c>
      <c r="BC271" s="27"/>
      <c r="BD271" s="34" t="s">
        <v>91</v>
      </c>
      <c r="BE271" s="34"/>
      <c r="BF271" s="27"/>
      <c r="BG271" s="27"/>
      <c r="BH271" s="27"/>
    </row>
    <row r="272" ht="14.25" customHeight="1">
      <c r="A272" s="119" t="s">
        <v>903</v>
      </c>
      <c r="B272" s="119"/>
      <c r="C272" s="120"/>
      <c r="D272" s="14"/>
      <c r="E272" s="15"/>
      <c r="F272" s="15"/>
      <c r="G272" s="12"/>
      <c r="H272" s="16"/>
      <c r="I272" s="17">
        <v>1.0</v>
      </c>
      <c r="J272" s="18"/>
      <c r="K272" s="18" t="s">
        <v>151</v>
      </c>
      <c r="L272" s="18" t="s">
        <v>61</v>
      </c>
      <c r="M272" s="18" t="s">
        <v>60</v>
      </c>
      <c r="N272" s="18"/>
      <c r="O272" s="18" t="s">
        <v>60</v>
      </c>
      <c r="P272" s="18" t="s">
        <v>60</v>
      </c>
      <c r="Q272" s="19" t="s">
        <v>60</v>
      </c>
      <c r="R272" s="15">
        <f t="shared" si="3"/>
        <v>0</v>
      </c>
      <c r="S272" s="15">
        <v>6.0</v>
      </c>
      <c r="T272" s="15">
        <v>6.0</v>
      </c>
      <c r="U272" s="20">
        <f t="shared" si="4"/>
        <v>1</v>
      </c>
      <c r="V272" s="15">
        <f t="shared" si="5"/>
        <v>0</v>
      </c>
      <c r="W272" s="15">
        <v>6.0</v>
      </c>
      <c r="X272" s="20">
        <f t="shared" si="6"/>
        <v>1</v>
      </c>
      <c r="Y272" s="15">
        <f t="shared" ref="Y272:Z272" si="548">AE272-W272</f>
        <v>0</v>
      </c>
      <c r="Z272" s="20">
        <f t="shared" si="548"/>
        <v>0</v>
      </c>
      <c r="AA272" s="15">
        <v>6.0</v>
      </c>
      <c r="AB272" s="20">
        <f t="shared" si="8"/>
        <v>1</v>
      </c>
      <c r="AC272" s="15">
        <f t="shared" ref="AC272:AD272" si="549">AE272-AA272</f>
        <v>0</v>
      </c>
      <c r="AD272" s="20">
        <f t="shared" si="549"/>
        <v>0</v>
      </c>
      <c r="AE272" s="15">
        <v>6.0</v>
      </c>
      <c r="AF272" s="20">
        <f t="shared" si="10"/>
        <v>1</v>
      </c>
      <c r="AG272" s="15" t="e">
        <v>#N/A</v>
      </c>
      <c r="AH272" s="20" t="str">
        <f t="shared" si="11"/>
        <v>#N/A</v>
      </c>
      <c r="AI272" s="15">
        <v>6.0</v>
      </c>
      <c r="AJ272" s="15">
        <v>0.0</v>
      </c>
      <c r="AK272" s="21">
        <v>0.0</v>
      </c>
      <c r="AL272" s="22">
        <v>1.0</v>
      </c>
      <c r="AM272" s="15">
        <v>0.0</v>
      </c>
      <c r="AN272" s="15">
        <v>0.0</v>
      </c>
      <c r="AO272" s="23" t="s">
        <v>697</v>
      </c>
      <c r="AP272" s="23" t="s">
        <v>697</v>
      </c>
      <c r="AQ272" s="13" t="s">
        <v>93</v>
      </c>
      <c r="AR272" s="24" t="s">
        <v>66</v>
      </c>
      <c r="AS272" s="24"/>
      <c r="AT272" s="52" t="s">
        <v>904</v>
      </c>
      <c r="AU272" s="26" t="s">
        <v>253</v>
      </c>
      <c r="AV272" s="27"/>
      <c r="AW272" s="24" t="s">
        <v>133</v>
      </c>
      <c r="AX272" s="42">
        <v>46002.0</v>
      </c>
      <c r="AY272" s="29" t="s">
        <v>254</v>
      </c>
      <c r="AZ272" s="30"/>
      <c r="BA272" s="25" t="s">
        <v>905</v>
      </c>
      <c r="BB272" s="26" t="s">
        <v>72</v>
      </c>
      <c r="BC272" s="27"/>
      <c r="BD272" s="24" t="s">
        <v>96</v>
      </c>
      <c r="BE272" s="27"/>
      <c r="BF272" s="27"/>
      <c r="BG272" s="27"/>
      <c r="BH272" s="27"/>
    </row>
    <row r="273" ht="14.25" customHeight="1">
      <c r="A273" s="119" t="s">
        <v>906</v>
      </c>
      <c r="B273" s="119"/>
      <c r="C273" s="120"/>
      <c r="D273" s="14"/>
      <c r="E273" s="15"/>
      <c r="F273" s="15"/>
      <c r="G273" s="12"/>
      <c r="H273" s="16"/>
      <c r="I273" s="17">
        <v>1.0</v>
      </c>
      <c r="J273" s="18"/>
      <c r="K273" s="18" t="s">
        <v>62</v>
      </c>
      <c r="L273" s="18" t="s">
        <v>61</v>
      </c>
      <c r="M273" s="18" t="s">
        <v>60</v>
      </c>
      <c r="N273" s="18"/>
      <c r="O273" s="18" t="s">
        <v>60</v>
      </c>
      <c r="P273" s="18" t="s">
        <v>60</v>
      </c>
      <c r="Q273" s="19" t="s">
        <v>60</v>
      </c>
      <c r="R273" s="15">
        <f t="shared" si="3"/>
        <v>0</v>
      </c>
      <c r="S273" s="15">
        <v>1.0</v>
      </c>
      <c r="T273" s="15">
        <v>1.0</v>
      </c>
      <c r="U273" s="20">
        <f t="shared" si="4"/>
        <v>1</v>
      </c>
      <c r="V273" s="15">
        <f t="shared" si="5"/>
        <v>0</v>
      </c>
      <c r="W273" s="15">
        <v>1.0</v>
      </c>
      <c r="X273" s="20">
        <f t="shared" si="6"/>
        <v>1</v>
      </c>
      <c r="Y273" s="15">
        <f t="shared" ref="Y273:Z273" si="550">AE273-W273</f>
        <v>0</v>
      </c>
      <c r="Z273" s="20">
        <f t="shared" si="550"/>
        <v>0</v>
      </c>
      <c r="AA273" s="15">
        <v>1.0</v>
      </c>
      <c r="AB273" s="20">
        <f t="shared" si="8"/>
        <v>1</v>
      </c>
      <c r="AC273" s="15">
        <f t="shared" ref="AC273:AD273" si="551">AE273-AA273</f>
        <v>0</v>
      </c>
      <c r="AD273" s="20">
        <f t="shared" si="551"/>
        <v>0</v>
      </c>
      <c r="AE273" s="15">
        <v>1.0</v>
      </c>
      <c r="AF273" s="20">
        <f t="shared" si="10"/>
        <v>1</v>
      </c>
      <c r="AG273" s="15" t="e">
        <v>#N/A</v>
      </c>
      <c r="AH273" s="20" t="str">
        <f t="shared" si="11"/>
        <v>#N/A</v>
      </c>
      <c r="AI273" s="15">
        <v>1.0</v>
      </c>
      <c r="AJ273" s="15">
        <v>0.0</v>
      </c>
      <c r="AK273" s="21">
        <v>0.0</v>
      </c>
      <c r="AL273" s="22">
        <v>1.0</v>
      </c>
      <c r="AM273" s="15">
        <v>0.0</v>
      </c>
      <c r="AN273" s="15">
        <v>0.0</v>
      </c>
      <c r="AO273" s="23" t="s">
        <v>697</v>
      </c>
      <c r="AP273" s="23" t="s">
        <v>697</v>
      </c>
      <c r="AQ273" s="13" t="s">
        <v>93</v>
      </c>
      <c r="AR273" s="24" t="s">
        <v>66</v>
      </c>
      <c r="AS273" s="24"/>
      <c r="AT273" s="25" t="s">
        <v>907</v>
      </c>
      <c r="AU273" s="26" t="s">
        <v>68</v>
      </c>
      <c r="AV273" s="27"/>
      <c r="AW273" s="24" t="s">
        <v>100</v>
      </c>
      <c r="AX273" s="28"/>
      <c r="AY273" s="29" t="s">
        <v>70</v>
      </c>
      <c r="AZ273" s="32"/>
      <c r="BA273" s="25" t="s">
        <v>908</v>
      </c>
      <c r="BB273" s="26" t="s">
        <v>72</v>
      </c>
      <c r="BC273" s="27"/>
      <c r="BD273" s="24" t="s">
        <v>96</v>
      </c>
      <c r="BE273" s="27"/>
      <c r="BF273" s="27"/>
      <c r="BG273" s="27"/>
      <c r="BH273" s="27"/>
    </row>
    <row r="274" ht="14.25" customHeight="1">
      <c r="A274" s="119" t="s">
        <v>909</v>
      </c>
      <c r="B274" s="119"/>
      <c r="C274" s="120"/>
      <c r="D274" s="14"/>
      <c r="E274" s="15"/>
      <c r="F274" s="15"/>
      <c r="G274" s="12"/>
      <c r="H274" s="16"/>
      <c r="I274" s="17">
        <v>0.0</v>
      </c>
      <c r="J274" s="18"/>
      <c r="K274" s="18"/>
      <c r="L274" s="18" t="s">
        <v>84</v>
      </c>
      <c r="M274" s="18" t="s">
        <v>84</v>
      </c>
      <c r="N274" s="18"/>
      <c r="O274" s="18" t="s">
        <v>60</v>
      </c>
      <c r="P274" s="18" t="s">
        <v>60</v>
      </c>
      <c r="Q274" s="19" t="s">
        <v>60</v>
      </c>
      <c r="R274" s="15">
        <f t="shared" si="3"/>
        <v>0</v>
      </c>
      <c r="S274" s="15">
        <v>1.0</v>
      </c>
      <c r="T274" s="15">
        <v>0.0</v>
      </c>
      <c r="U274" s="20">
        <f t="shared" si="4"/>
        <v>0</v>
      </c>
      <c r="V274" s="15">
        <f t="shared" si="5"/>
        <v>1</v>
      </c>
      <c r="W274" s="15">
        <v>1.0</v>
      </c>
      <c r="X274" s="20">
        <f t="shared" si="6"/>
        <v>1</v>
      </c>
      <c r="Y274" s="15">
        <f t="shared" ref="Y274:Z274" si="552">AE274-W274</f>
        <v>0</v>
      </c>
      <c r="Z274" s="20">
        <f t="shared" si="552"/>
        <v>0</v>
      </c>
      <c r="AA274" s="15">
        <v>1.0</v>
      </c>
      <c r="AB274" s="20">
        <f t="shared" si="8"/>
        <v>1</v>
      </c>
      <c r="AC274" s="15">
        <f t="shared" ref="AC274:AD274" si="553">AE274-AA274</f>
        <v>0</v>
      </c>
      <c r="AD274" s="20">
        <f t="shared" si="553"/>
        <v>0</v>
      </c>
      <c r="AE274" s="15">
        <v>1.0</v>
      </c>
      <c r="AF274" s="20">
        <f t="shared" si="10"/>
        <v>1</v>
      </c>
      <c r="AG274" s="15" t="e">
        <v>#N/A</v>
      </c>
      <c r="AH274" s="20" t="str">
        <f t="shared" si="11"/>
        <v>#N/A</v>
      </c>
      <c r="AI274" s="15">
        <v>1.0</v>
      </c>
      <c r="AJ274" s="15">
        <v>0.0</v>
      </c>
      <c r="AK274" s="21">
        <v>0.0</v>
      </c>
      <c r="AL274" s="22">
        <v>1.0</v>
      </c>
      <c r="AM274" s="15">
        <v>0.0</v>
      </c>
      <c r="AN274" s="15">
        <v>0.0</v>
      </c>
      <c r="AO274" s="23" t="s">
        <v>697</v>
      </c>
      <c r="AP274" s="23" t="s">
        <v>697</v>
      </c>
      <c r="AQ274" s="13" t="e">
        <v>#N/A</v>
      </c>
      <c r="AR274" s="24" t="s">
        <v>66</v>
      </c>
      <c r="AS274" s="24"/>
      <c r="AT274" s="52" t="s">
        <v>910</v>
      </c>
      <c r="AU274" s="26" t="s">
        <v>253</v>
      </c>
      <c r="AV274" s="27"/>
      <c r="AW274" s="24" t="s">
        <v>133</v>
      </c>
      <c r="AX274" s="42">
        <v>46002.0</v>
      </c>
      <c r="AY274" s="29" t="s">
        <v>250</v>
      </c>
      <c r="AZ274" s="29"/>
      <c r="BA274" s="25" t="s">
        <v>911</v>
      </c>
      <c r="BB274" s="26"/>
      <c r="BC274" s="27"/>
      <c r="BD274" s="24"/>
      <c r="BE274" s="24"/>
      <c r="BF274" s="27"/>
      <c r="BG274" s="27"/>
      <c r="BH274" s="27"/>
    </row>
    <row r="275" ht="14.25" customHeight="1">
      <c r="A275" s="12" t="s">
        <v>912</v>
      </c>
      <c r="B275" s="12"/>
      <c r="C275" s="13"/>
      <c r="D275" s="14"/>
      <c r="E275" s="15"/>
      <c r="F275" s="15"/>
      <c r="G275" s="12"/>
      <c r="H275" s="16"/>
      <c r="I275" s="17">
        <v>0.0</v>
      </c>
      <c r="J275" s="18"/>
      <c r="K275" s="18"/>
      <c r="L275" s="18" t="s">
        <v>84</v>
      </c>
      <c r="M275" s="18" t="s">
        <v>84</v>
      </c>
      <c r="N275" s="18"/>
      <c r="O275" s="18" t="s">
        <v>60</v>
      </c>
      <c r="P275" s="18" t="s">
        <v>60</v>
      </c>
      <c r="Q275" s="19" t="s">
        <v>60</v>
      </c>
      <c r="R275" s="15">
        <f t="shared" si="3"/>
        <v>0</v>
      </c>
      <c r="S275" s="15">
        <v>10.0</v>
      </c>
      <c r="T275" s="15">
        <v>0.0</v>
      </c>
      <c r="U275" s="20">
        <f t="shared" si="4"/>
        <v>0</v>
      </c>
      <c r="V275" s="15">
        <f t="shared" si="5"/>
        <v>10</v>
      </c>
      <c r="W275" s="15">
        <v>10.0</v>
      </c>
      <c r="X275" s="20">
        <f t="shared" si="6"/>
        <v>1</v>
      </c>
      <c r="Y275" s="15">
        <f t="shared" ref="Y275:Z275" si="554">AE275-W275</f>
        <v>0</v>
      </c>
      <c r="Z275" s="20">
        <f t="shared" si="554"/>
        <v>0</v>
      </c>
      <c r="AA275" s="15">
        <v>10.0</v>
      </c>
      <c r="AB275" s="20">
        <f t="shared" si="8"/>
        <v>1</v>
      </c>
      <c r="AC275" s="15">
        <f t="shared" ref="AC275:AD275" si="555">AE275-AA275</f>
        <v>0</v>
      </c>
      <c r="AD275" s="20">
        <f t="shared" si="555"/>
        <v>0</v>
      </c>
      <c r="AE275" s="15">
        <v>10.0</v>
      </c>
      <c r="AF275" s="20">
        <f t="shared" si="10"/>
        <v>1</v>
      </c>
      <c r="AG275" s="15" t="e">
        <v>#N/A</v>
      </c>
      <c r="AH275" s="20" t="str">
        <f t="shared" si="11"/>
        <v>#N/A</v>
      </c>
      <c r="AI275" s="15">
        <v>10.0</v>
      </c>
      <c r="AJ275" s="15">
        <v>0.0</v>
      </c>
      <c r="AK275" s="21">
        <v>0.0</v>
      </c>
      <c r="AL275" s="22">
        <v>1.0</v>
      </c>
      <c r="AM275" s="15">
        <v>0.0</v>
      </c>
      <c r="AN275" s="15">
        <v>0.0</v>
      </c>
      <c r="AO275" s="23" t="s">
        <v>697</v>
      </c>
      <c r="AP275" s="23" t="s">
        <v>697</v>
      </c>
      <c r="AQ275" s="13" t="s">
        <v>104</v>
      </c>
      <c r="AR275" s="24" t="s">
        <v>66</v>
      </c>
      <c r="AS275" s="24"/>
      <c r="AT275" s="25" t="s">
        <v>913</v>
      </c>
      <c r="AU275" s="26" t="s">
        <v>407</v>
      </c>
      <c r="AV275" s="27"/>
      <c r="AW275" s="24" t="s">
        <v>133</v>
      </c>
      <c r="AX275" s="56">
        <v>45995.0</v>
      </c>
      <c r="AY275" s="29" t="s">
        <v>70</v>
      </c>
      <c r="AZ275" s="32"/>
      <c r="BA275" s="25" t="s">
        <v>914</v>
      </c>
      <c r="BB275" s="26" t="s">
        <v>665</v>
      </c>
      <c r="BC275" s="27"/>
      <c r="BD275" s="24" t="s">
        <v>112</v>
      </c>
      <c r="BE275" s="27"/>
      <c r="BF275" s="27"/>
      <c r="BG275" s="27"/>
      <c r="BH275" s="27"/>
    </row>
    <row r="276" ht="14.25" customHeight="1">
      <c r="A276" s="119" t="s">
        <v>915</v>
      </c>
      <c r="B276" s="119"/>
      <c r="C276" s="120"/>
      <c r="D276" s="14"/>
      <c r="E276" s="15"/>
      <c r="F276" s="15"/>
      <c r="G276" s="12"/>
      <c r="H276" s="16"/>
      <c r="I276" s="17">
        <v>0.0</v>
      </c>
      <c r="J276" s="18"/>
      <c r="K276" s="18"/>
      <c r="L276" s="18" t="s">
        <v>84</v>
      </c>
      <c r="M276" s="18" t="s">
        <v>264</v>
      </c>
      <c r="N276" s="18"/>
      <c r="O276" s="18" t="s">
        <v>84</v>
      </c>
      <c r="P276" s="18" t="s">
        <v>84</v>
      </c>
      <c r="Q276" s="18" t="s">
        <v>84</v>
      </c>
      <c r="R276" s="15">
        <f t="shared" si="3"/>
        <v>0</v>
      </c>
      <c r="S276" s="15">
        <v>9.0</v>
      </c>
      <c r="T276" s="15">
        <v>0.0</v>
      </c>
      <c r="U276" s="20">
        <f t="shared" si="4"/>
        <v>0</v>
      </c>
      <c r="V276" s="15">
        <f t="shared" si="5"/>
        <v>9</v>
      </c>
      <c r="W276" s="15">
        <v>0.0</v>
      </c>
      <c r="X276" s="20">
        <f t="shared" si="6"/>
        <v>0</v>
      </c>
      <c r="Y276" s="15">
        <f t="shared" ref="Y276:Z276" si="556">AE276-W276</f>
        <v>9</v>
      </c>
      <c r="Z276" s="20">
        <f t="shared" si="556"/>
        <v>1</v>
      </c>
      <c r="AA276" s="15">
        <v>0.0</v>
      </c>
      <c r="AB276" s="20">
        <f t="shared" si="8"/>
        <v>0</v>
      </c>
      <c r="AC276" s="15">
        <f t="shared" ref="AC276:AD276" si="557">AE276-AA276</f>
        <v>9</v>
      </c>
      <c r="AD276" s="20">
        <f t="shared" si="557"/>
        <v>1</v>
      </c>
      <c r="AE276" s="15">
        <v>9.0</v>
      </c>
      <c r="AF276" s="20">
        <f t="shared" si="10"/>
        <v>1</v>
      </c>
      <c r="AG276" s="15" t="e">
        <v>#N/A</v>
      </c>
      <c r="AH276" s="20" t="str">
        <f t="shared" si="11"/>
        <v>#N/A</v>
      </c>
      <c r="AI276" s="15">
        <v>9.0</v>
      </c>
      <c r="AJ276" s="15">
        <v>0.0</v>
      </c>
      <c r="AK276" s="21">
        <v>0.0</v>
      </c>
      <c r="AL276" s="22">
        <v>1.0</v>
      </c>
      <c r="AM276" s="15">
        <v>0.0</v>
      </c>
      <c r="AN276" s="15">
        <v>0.0</v>
      </c>
      <c r="AO276" s="23" t="s">
        <v>697</v>
      </c>
      <c r="AP276" s="23" t="s">
        <v>697</v>
      </c>
      <c r="AQ276" s="13" t="s">
        <v>104</v>
      </c>
      <c r="AR276" s="24" t="s">
        <v>66</v>
      </c>
      <c r="AS276" s="24"/>
      <c r="AT276" s="25" t="s">
        <v>916</v>
      </c>
      <c r="AU276" s="26" t="s">
        <v>88</v>
      </c>
      <c r="AV276" s="27"/>
      <c r="AW276" s="24" t="s">
        <v>69</v>
      </c>
      <c r="AX276" s="28"/>
      <c r="AY276" s="29" t="s">
        <v>89</v>
      </c>
      <c r="AZ276" s="29"/>
      <c r="BA276" s="28"/>
      <c r="BB276" s="26" t="s">
        <v>90</v>
      </c>
      <c r="BC276" s="27"/>
      <c r="BD276" s="34" t="s">
        <v>91</v>
      </c>
      <c r="BE276" s="34"/>
      <c r="BF276" s="27"/>
      <c r="BG276" s="27"/>
      <c r="BH276" s="27"/>
    </row>
    <row r="277" ht="14.25" customHeight="1">
      <c r="A277" s="119" t="s">
        <v>917</v>
      </c>
      <c r="B277" s="119"/>
      <c r="C277" s="120"/>
      <c r="D277" s="14"/>
      <c r="E277" s="15"/>
      <c r="F277" s="15"/>
      <c r="G277" s="12"/>
      <c r="H277" s="16"/>
      <c r="I277" s="17">
        <v>0.1429</v>
      </c>
      <c r="J277" s="18"/>
      <c r="K277" s="18" t="s">
        <v>84</v>
      </c>
      <c r="L277" s="18" t="s">
        <v>161</v>
      </c>
      <c r="M277" s="18" t="s">
        <v>62</v>
      </c>
      <c r="N277" s="18"/>
      <c r="O277" s="18" t="s">
        <v>62</v>
      </c>
      <c r="P277" s="18" t="s">
        <v>86</v>
      </c>
      <c r="Q277" s="19" t="s">
        <v>60</v>
      </c>
      <c r="R277" s="15">
        <f t="shared" si="3"/>
        <v>0</v>
      </c>
      <c r="S277" s="15">
        <v>4.0</v>
      </c>
      <c r="T277" s="15">
        <v>1.0</v>
      </c>
      <c r="U277" s="20">
        <f t="shared" si="4"/>
        <v>0.25</v>
      </c>
      <c r="V277" s="15">
        <f t="shared" si="5"/>
        <v>3</v>
      </c>
      <c r="W277" s="15">
        <v>1.0</v>
      </c>
      <c r="X277" s="20">
        <f t="shared" si="6"/>
        <v>0.25</v>
      </c>
      <c r="Y277" s="15">
        <f t="shared" ref="Y277:Z277" si="558">AE277-W277</f>
        <v>3</v>
      </c>
      <c r="Z277" s="20">
        <f t="shared" si="558"/>
        <v>0.75</v>
      </c>
      <c r="AA277" s="15">
        <v>4.0</v>
      </c>
      <c r="AB277" s="20">
        <f t="shared" si="8"/>
        <v>1</v>
      </c>
      <c r="AC277" s="15">
        <f t="shared" ref="AC277:AD277" si="559">AE277-AA277</f>
        <v>0</v>
      </c>
      <c r="AD277" s="20">
        <f t="shared" si="559"/>
        <v>0</v>
      </c>
      <c r="AE277" s="15">
        <v>4.0</v>
      </c>
      <c r="AF277" s="20">
        <f t="shared" si="10"/>
        <v>1</v>
      </c>
      <c r="AG277" s="15" t="e">
        <v>#N/A</v>
      </c>
      <c r="AH277" s="20" t="str">
        <f t="shared" si="11"/>
        <v>#N/A</v>
      </c>
      <c r="AI277" s="15">
        <v>4.0</v>
      </c>
      <c r="AJ277" s="15">
        <v>0.0</v>
      </c>
      <c r="AK277" s="21">
        <v>0.0</v>
      </c>
      <c r="AL277" s="22">
        <v>1.0</v>
      </c>
      <c r="AM277" s="15">
        <v>0.0</v>
      </c>
      <c r="AN277" s="15">
        <v>0.0</v>
      </c>
      <c r="AO277" s="23" t="s">
        <v>697</v>
      </c>
      <c r="AP277" s="23" t="s">
        <v>697</v>
      </c>
      <c r="AQ277" s="13" t="s">
        <v>108</v>
      </c>
      <c r="AR277" s="24" t="s">
        <v>66</v>
      </c>
      <c r="AS277" s="24"/>
      <c r="AT277" s="25" t="s">
        <v>918</v>
      </c>
      <c r="AU277" s="26" t="s">
        <v>68</v>
      </c>
      <c r="AV277" s="27"/>
      <c r="AW277" s="24" t="s">
        <v>69</v>
      </c>
      <c r="AX277" s="28"/>
      <c r="AY277" s="29" t="s">
        <v>89</v>
      </c>
      <c r="AZ277" s="29"/>
      <c r="BA277" s="28"/>
      <c r="BB277" s="26" t="s">
        <v>90</v>
      </c>
      <c r="BC277" s="27"/>
      <c r="BD277" s="34" t="s">
        <v>91</v>
      </c>
      <c r="BE277" s="34"/>
      <c r="BF277" s="27"/>
      <c r="BG277" s="27"/>
      <c r="BH277" s="27"/>
    </row>
    <row r="278" ht="14.25" customHeight="1">
      <c r="A278" s="12" t="s">
        <v>919</v>
      </c>
      <c r="B278" s="12"/>
      <c r="C278" s="13"/>
      <c r="D278" s="14"/>
      <c r="E278" s="15"/>
      <c r="F278" s="15"/>
      <c r="G278" s="12"/>
      <c r="H278" s="16"/>
      <c r="I278" s="17">
        <v>0.0</v>
      </c>
      <c r="J278" s="18"/>
      <c r="K278" s="18"/>
      <c r="L278" s="18" t="s">
        <v>84</v>
      </c>
      <c r="M278" s="18" t="s">
        <v>84</v>
      </c>
      <c r="N278" s="18"/>
      <c r="O278" s="18" t="s">
        <v>60</v>
      </c>
      <c r="P278" s="18" t="s">
        <v>60</v>
      </c>
      <c r="Q278" s="19" t="s">
        <v>60</v>
      </c>
      <c r="R278" s="15">
        <f t="shared" si="3"/>
        <v>0</v>
      </c>
      <c r="S278" s="15">
        <v>424.0</v>
      </c>
      <c r="T278" s="15">
        <v>0.0</v>
      </c>
      <c r="U278" s="20">
        <f t="shared" si="4"/>
        <v>0</v>
      </c>
      <c r="V278" s="15">
        <f t="shared" si="5"/>
        <v>424</v>
      </c>
      <c r="W278" s="15">
        <v>424.0</v>
      </c>
      <c r="X278" s="20">
        <f t="shared" si="6"/>
        <v>1</v>
      </c>
      <c r="Y278" s="15">
        <f t="shared" ref="Y278:Z278" si="560">AE278-W278</f>
        <v>0</v>
      </c>
      <c r="Z278" s="20">
        <f t="shared" si="560"/>
        <v>0</v>
      </c>
      <c r="AA278" s="15">
        <v>424.0</v>
      </c>
      <c r="AB278" s="20">
        <f t="shared" si="8"/>
        <v>1</v>
      </c>
      <c r="AC278" s="15">
        <f t="shared" ref="AC278:AD278" si="561">AE278-AA278</f>
        <v>0</v>
      </c>
      <c r="AD278" s="20">
        <f t="shared" si="561"/>
        <v>0</v>
      </c>
      <c r="AE278" s="15">
        <v>424.0</v>
      </c>
      <c r="AF278" s="20">
        <f t="shared" si="10"/>
        <v>1</v>
      </c>
      <c r="AG278" s="15" t="e">
        <v>#N/A</v>
      </c>
      <c r="AH278" s="20" t="str">
        <f t="shared" si="11"/>
        <v>#N/A</v>
      </c>
      <c r="AI278" s="15">
        <v>424.0</v>
      </c>
      <c r="AJ278" s="15">
        <v>0.0</v>
      </c>
      <c r="AK278" s="21">
        <v>0.0</v>
      </c>
      <c r="AL278" s="22">
        <v>1.0</v>
      </c>
      <c r="AM278" s="15">
        <v>0.0</v>
      </c>
      <c r="AN278" s="15">
        <v>0.0</v>
      </c>
      <c r="AO278" s="23" t="s">
        <v>697</v>
      </c>
      <c r="AP278" s="23" t="s">
        <v>697</v>
      </c>
      <c r="AQ278" s="13" t="s">
        <v>93</v>
      </c>
      <c r="AR278" s="24" t="s">
        <v>66</v>
      </c>
      <c r="AS278" s="24"/>
      <c r="AT278" s="52" t="s">
        <v>920</v>
      </c>
      <c r="AU278" s="26" t="s">
        <v>253</v>
      </c>
      <c r="AV278" s="27"/>
      <c r="AW278" s="24" t="s">
        <v>133</v>
      </c>
      <c r="AX278" s="42">
        <v>46002.0</v>
      </c>
      <c r="AY278" s="29" t="s">
        <v>254</v>
      </c>
      <c r="AZ278" s="30"/>
      <c r="BA278" s="25" t="s">
        <v>921</v>
      </c>
      <c r="BB278" s="26" t="s">
        <v>168</v>
      </c>
      <c r="BC278" s="27"/>
      <c r="BD278" s="24" t="s">
        <v>112</v>
      </c>
      <c r="BE278" s="27"/>
      <c r="BF278" s="27"/>
      <c r="BG278" s="27"/>
      <c r="BH278" s="27"/>
    </row>
    <row r="279" ht="14.25" customHeight="1">
      <c r="A279" s="119" t="s">
        <v>922</v>
      </c>
      <c r="B279" s="119"/>
      <c r="C279" s="120"/>
      <c r="D279" s="14"/>
      <c r="E279" s="15"/>
      <c r="F279" s="15"/>
      <c r="G279" s="12"/>
      <c r="H279" s="16"/>
      <c r="I279" s="17">
        <v>1.0</v>
      </c>
      <c r="J279" s="18"/>
      <c r="K279" s="18" t="s">
        <v>61</v>
      </c>
      <c r="L279" s="18" t="s">
        <v>61</v>
      </c>
      <c r="M279" s="18" t="s">
        <v>60</v>
      </c>
      <c r="N279" s="18"/>
      <c r="O279" s="18" t="s">
        <v>60</v>
      </c>
      <c r="P279" s="18" t="s">
        <v>60</v>
      </c>
      <c r="Q279" s="19" t="s">
        <v>60</v>
      </c>
      <c r="R279" s="15">
        <f t="shared" si="3"/>
        <v>0</v>
      </c>
      <c r="S279" s="15">
        <v>2.0</v>
      </c>
      <c r="T279" s="15">
        <v>2.0</v>
      </c>
      <c r="U279" s="20">
        <f t="shared" si="4"/>
        <v>1</v>
      </c>
      <c r="V279" s="15">
        <f t="shared" si="5"/>
        <v>0</v>
      </c>
      <c r="W279" s="15">
        <v>2.0</v>
      </c>
      <c r="X279" s="20">
        <f t="shared" si="6"/>
        <v>1</v>
      </c>
      <c r="Y279" s="15">
        <f t="shared" ref="Y279:Z279" si="562">AE279-W279</f>
        <v>0</v>
      </c>
      <c r="Z279" s="20">
        <f t="shared" si="562"/>
        <v>0</v>
      </c>
      <c r="AA279" s="15">
        <v>2.0</v>
      </c>
      <c r="AB279" s="20">
        <f t="shared" si="8"/>
        <v>1</v>
      </c>
      <c r="AC279" s="15">
        <f t="shared" ref="AC279:AD279" si="563">AE279-AA279</f>
        <v>0</v>
      </c>
      <c r="AD279" s="20">
        <f t="shared" si="563"/>
        <v>0</v>
      </c>
      <c r="AE279" s="15">
        <v>2.0</v>
      </c>
      <c r="AF279" s="20">
        <f t="shared" si="10"/>
        <v>1</v>
      </c>
      <c r="AG279" s="15" t="e">
        <v>#N/A</v>
      </c>
      <c r="AH279" s="20" t="str">
        <f t="shared" si="11"/>
        <v>#N/A</v>
      </c>
      <c r="AI279" s="15">
        <v>2.0</v>
      </c>
      <c r="AJ279" s="15">
        <v>0.0</v>
      </c>
      <c r="AK279" s="21">
        <v>0.0</v>
      </c>
      <c r="AL279" s="22">
        <v>1.0</v>
      </c>
      <c r="AM279" s="15">
        <v>0.0</v>
      </c>
      <c r="AN279" s="15">
        <v>0.0</v>
      </c>
      <c r="AO279" s="23" t="s">
        <v>697</v>
      </c>
      <c r="AP279" s="23" t="s">
        <v>697</v>
      </c>
      <c r="AQ279" s="13" t="e">
        <v>#N/A</v>
      </c>
      <c r="AR279" s="24" t="s">
        <v>66</v>
      </c>
      <c r="AS279" s="24"/>
      <c r="AT279" s="25" t="s">
        <v>923</v>
      </c>
      <c r="AU279" s="26" t="s">
        <v>68</v>
      </c>
      <c r="AV279" s="27"/>
      <c r="AW279" s="24" t="s">
        <v>79</v>
      </c>
      <c r="AX279" s="28"/>
      <c r="AY279" s="29" t="s">
        <v>70</v>
      </c>
      <c r="AZ279" s="32"/>
      <c r="BA279" s="25" t="s">
        <v>924</v>
      </c>
      <c r="BB279" s="26" t="s">
        <v>72</v>
      </c>
      <c r="BC279" s="24"/>
      <c r="BD279" s="24" t="s">
        <v>112</v>
      </c>
      <c r="BE279" s="24"/>
      <c r="BF279" s="24"/>
      <c r="BG279" s="24"/>
      <c r="BH279" s="24" t="s">
        <v>149</v>
      </c>
    </row>
    <row r="280" ht="14.25" customHeight="1">
      <c r="A280" s="119" t="s">
        <v>925</v>
      </c>
      <c r="B280" s="119"/>
      <c r="C280" s="120"/>
      <c r="D280" s="14"/>
      <c r="E280" s="15"/>
      <c r="F280" s="15"/>
      <c r="G280" s="12"/>
      <c r="H280" s="16"/>
      <c r="I280" s="17">
        <v>0.0</v>
      </c>
      <c r="J280" s="18"/>
      <c r="K280" s="18"/>
      <c r="L280" s="18" t="s">
        <v>84</v>
      </c>
      <c r="M280" s="18" t="s">
        <v>84</v>
      </c>
      <c r="N280" s="18"/>
      <c r="O280" s="18" t="s">
        <v>84</v>
      </c>
      <c r="P280" s="18" t="s">
        <v>84</v>
      </c>
      <c r="Q280" s="18" t="s">
        <v>84</v>
      </c>
      <c r="R280" s="15">
        <f t="shared" si="3"/>
        <v>0</v>
      </c>
      <c r="S280" s="15">
        <v>2.0</v>
      </c>
      <c r="T280" s="15">
        <v>0.0</v>
      </c>
      <c r="U280" s="20">
        <f t="shared" si="4"/>
        <v>0</v>
      </c>
      <c r="V280" s="15">
        <f t="shared" si="5"/>
        <v>2</v>
      </c>
      <c r="W280" s="15">
        <v>0.0</v>
      </c>
      <c r="X280" s="20">
        <f t="shared" si="6"/>
        <v>0</v>
      </c>
      <c r="Y280" s="15">
        <f t="shared" ref="Y280:Z280" si="564">AE280-W280</f>
        <v>2</v>
      </c>
      <c r="Z280" s="20">
        <f t="shared" si="564"/>
        <v>1</v>
      </c>
      <c r="AA280" s="15">
        <v>0.0</v>
      </c>
      <c r="AB280" s="20">
        <f t="shared" si="8"/>
        <v>0</v>
      </c>
      <c r="AC280" s="15">
        <f t="shared" ref="AC280:AD280" si="565">AE280-AA280</f>
        <v>2</v>
      </c>
      <c r="AD280" s="20">
        <f t="shared" si="565"/>
        <v>1</v>
      </c>
      <c r="AE280" s="15">
        <v>2.0</v>
      </c>
      <c r="AF280" s="20">
        <f t="shared" si="10"/>
        <v>1</v>
      </c>
      <c r="AG280" s="15" t="e">
        <v>#N/A</v>
      </c>
      <c r="AH280" s="20" t="str">
        <f t="shared" si="11"/>
        <v>#N/A</v>
      </c>
      <c r="AI280" s="15">
        <v>2.0</v>
      </c>
      <c r="AJ280" s="15">
        <v>0.0</v>
      </c>
      <c r="AK280" s="21">
        <v>0.0</v>
      </c>
      <c r="AL280" s="22">
        <v>1.0</v>
      </c>
      <c r="AM280" s="15">
        <v>0.0</v>
      </c>
      <c r="AN280" s="15">
        <v>0.0</v>
      </c>
      <c r="AO280" s="23" t="s">
        <v>697</v>
      </c>
      <c r="AP280" s="23" t="s">
        <v>697</v>
      </c>
      <c r="AQ280" s="13" t="s">
        <v>65</v>
      </c>
      <c r="AR280" s="24" t="s">
        <v>66</v>
      </c>
      <c r="AS280" s="24"/>
      <c r="AT280" s="25" t="s">
        <v>926</v>
      </c>
      <c r="AU280" s="26" t="s">
        <v>68</v>
      </c>
      <c r="AV280" s="27"/>
      <c r="AW280" s="24" t="s">
        <v>69</v>
      </c>
      <c r="AX280" s="28"/>
      <c r="AY280" s="29" t="s">
        <v>89</v>
      </c>
      <c r="AZ280" s="29"/>
      <c r="BA280" s="28"/>
      <c r="BB280" s="26" t="s">
        <v>90</v>
      </c>
      <c r="BC280" s="27"/>
      <c r="BD280" s="34" t="s">
        <v>91</v>
      </c>
      <c r="BE280" s="34"/>
      <c r="BF280" s="27"/>
      <c r="BG280" s="27"/>
      <c r="BH280" s="27"/>
    </row>
    <row r="281" ht="14.25" customHeight="1">
      <c r="A281" s="119" t="s">
        <v>927</v>
      </c>
      <c r="B281" s="119"/>
      <c r="C281" s="120"/>
      <c r="D281" s="14"/>
      <c r="E281" s="15"/>
      <c r="F281" s="15"/>
      <c r="G281" s="12"/>
      <c r="H281" s="16"/>
      <c r="I281" s="17">
        <v>0.0</v>
      </c>
      <c r="J281" s="18"/>
      <c r="K281" s="18"/>
      <c r="L281" s="18" t="s">
        <v>84</v>
      </c>
      <c r="M281" s="18" t="s">
        <v>84</v>
      </c>
      <c r="N281" s="18"/>
      <c r="O281" s="18" t="s">
        <v>84</v>
      </c>
      <c r="P281" s="18" t="s">
        <v>84</v>
      </c>
      <c r="Q281" s="18" t="s">
        <v>86</v>
      </c>
      <c r="R281" s="15">
        <f t="shared" si="3"/>
        <v>0</v>
      </c>
      <c r="S281" s="15">
        <v>1.0</v>
      </c>
      <c r="T281" s="15">
        <v>0.0</v>
      </c>
      <c r="U281" s="20">
        <f t="shared" si="4"/>
        <v>0</v>
      </c>
      <c r="V281" s="15">
        <f t="shared" si="5"/>
        <v>1</v>
      </c>
      <c r="W281" s="15">
        <v>0.0</v>
      </c>
      <c r="X281" s="20">
        <f t="shared" si="6"/>
        <v>0</v>
      </c>
      <c r="Y281" s="15">
        <f t="shared" ref="Y281:Z281" si="566">AE281-W281</f>
        <v>1</v>
      </c>
      <c r="Z281" s="20">
        <f t="shared" si="566"/>
        <v>1</v>
      </c>
      <c r="AA281" s="15">
        <v>0.0</v>
      </c>
      <c r="AB281" s="20">
        <f t="shared" si="8"/>
        <v>0</v>
      </c>
      <c r="AC281" s="15">
        <f t="shared" ref="AC281:AD281" si="567">AE281-AA281</f>
        <v>1</v>
      </c>
      <c r="AD281" s="20">
        <f t="shared" si="567"/>
        <v>1</v>
      </c>
      <c r="AE281" s="15">
        <v>1.0</v>
      </c>
      <c r="AF281" s="20">
        <f t="shared" si="10"/>
        <v>1</v>
      </c>
      <c r="AG281" s="15" t="e">
        <v>#N/A</v>
      </c>
      <c r="AH281" s="20" t="str">
        <f t="shared" si="11"/>
        <v>#N/A</v>
      </c>
      <c r="AI281" s="15">
        <v>1.0</v>
      </c>
      <c r="AJ281" s="15">
        <v>0.0</v>
      </c>
      <c r="AK281" s="21">
        <v>0.0</v>
      </c>
      <c r="AL281" s="22">
        <v>1.0</v>
      </c>
      <c r="AM281" s="15">
        <v>0.0</v>
      </c>
      <c r="AN281" s="15">
        <v>0.0</v>
      </c>
      <c r="AO281" s="23" t="s">
        <v>697</v>
      </c>
      <c r="AP281" s="23" t="s">
        <v>697</v>
      </c>
      <c r="AQ281" s="13" t="s">
        <v>77</v>
      </c>
      <c r="AR281" s="24" t="s">
        <v>66</v>
      </c>
      <c r="AS281" s="24"/>
      <c r="AT281" s="25" t="s">
        <v>928</v>
      </c>
      <c r="AU281" s="26" t="s">
        <v>68</v>
      </c>
      <c r="AV281" s="27"/>
      <c r="AW281" s="24" t="s">
        <v>100</v>
      </c>
      <c r="AX281" s="28"/>
      <c r="AY281" s="29" t="s">
        <v>89</v>
      </c>
      <c r="AZ281" s="29"/>
      <c r="BA281" s="28"/>
      <c r="BB281" s="26" t="s">
        <v>90</v>
      </c>
      <c r="BC281" s="27"/>
      <c r="BD281" s="34" t="s">
        <v>91</v>
      </c>
      <c r="BE281" s="34"/>
      <c r="BF281" s="27"/>
      <c r="BG281" s="27"/>
      <c r="BH281" s="27"/>
    </row>
    <row r="282" ht="14.25" customHeight="1">
      <c r="A282" s="119" t="s">
        <v>929</v>
      </c>
      <c r="B282" s="119"/>
      <c r="C282" s="120"/>
      <c r="D282" s="14"/>
      <c r="E282" s="15"/>
      <c r="F282" s="15"/>
      <c r="G282" s="12"/>
      <c r="H282" s="16"/>
      <c r="I282" s="17">
        <v>0.3333</v>
      </c>
      <c r="J282" s="18"/>
      <c r="K282" s="18" t="s">
        <v>62</v>
      </c>
      <c r="L282" s="18" t="s">
        <v>62</v>
      </c>
      <c r="M282" s="18" t="s">
        <v>62</v>
      </c>
      <c r="N282" s="18"/>
      <c r="O282" s="18" t="s">
        <v>60</v>
      </c>
      <c r="P282" s="18" t="s">
        <v>60</v>
      </c>
      <c r="Q282" s="19" t="s">
        <v>60</v>
      </c>
      <c r="R282" s="15">
        <f t="shared" si="3"/>
        <v>0</v>
      </c>
      <c r="S282" s="15">
        <v>1.0</v>
      </c>
      <c r="T282" s="15">
        <v>0.0</v>
      </c>
      <c r="U282" s="20">
        <f t="shared" si="4"/>
        <v>0</v>
      </c>
      <c r="V282" s="15">
        <f t="shared" si="5"/>
        <v>1</v>
      </c>
      <c r="W282" s="15">
        <v>1.0</v>
      </c>
      <c r="X282" s="20">
        <f t="shared" si="6"/>
        <v>1</v>
      </c>
      <c r="Y282" s="15">
        <f t="shared" ref="Y282:Z282" si="568">AE282-W282</f>
        <v>0</v>
      </c>
      <c r="Z282" s="20">
        <f t="shared" si="568"/>
        <v>0</v>
      </c>
      <c r="AA282" s="15">
        <v>1.0</v>
      </c>
      <c r="AB282" s="20">
        <f t="shared" si="8"/>
        <v>1</v>
      </c>
      <c r="AC282" s="15">
        <f t="shared" ref="AC282:AD282" si="569">AE282-AA282</f>
        <v>0</v>
      </c>
      <c r="AD282" s="20">
        <f t="shared" si="569"/>
        <v>0</v>
      </c>
      <c r="AE282" s="15">
        <v>1.0</v>
      </c>
      <c r="AF282" s="20">
        <f t="shared" si="10"/>
        <v>1</v>
      </c>
      <c r="AG282" s="15" t="e">
        <v>#N/A</v>
      </c>
      <c r="AH282" s="20" t="str">
        <f t="shared" si="11"/>
        <v>#N/A</v>
      </c>
      <c r="AI282" s="15">
        <v>1.0</v>
      </c>
      <c r="AJ282" s="15">
        <v>0.0</v>
      </c>
      <c r="AK282" s="21">
        <v>0.0</v>
      </c>
      <c r="AL282" s="22">
        <v>1.0</v>
      </c>
      <c r="AM282" s="15">
        <v>0.0</v>
      </c>
      <c r="AN282" s="15">
        <v>0.0</v>
      </c>
      <c r="AO282" s="23" t="s">
        <v>697</v>
      </c>
      <c r="AP282" s="23" t="s">
        <v>697</v>
      </c>
      <c r="AQ282" s="13" t="s">
        <v>108</v>
      </c>
      <c r="AR282" s="24" t="s">
        <v>66</v>
      </c>
      <c r="AS282" s="24"/>
      <c r="AT282" s="25" t="s">
        <v>930</v>
      </c>
      <c r="AU282" s="26" t="s">
        <v>68</v>
      </c>
      <c r="AV282" s="36"/>
      <c r="AW282" s="24" t="s">
        <v>79</v>
      </c>
      <c r="AX282" s="27"/>
      <c r="AY282" s="29" t="s">
        <v>70</v>
      </c>
      <c r="AZ282" s="30"/>
      <c r="BA282" s="25" t="s">
        <v>931</v>
      </c>
      <c r="BB282" s="26" t="s">
        <v>72</v>
      </c>
      <c r="BC282" s="27"/>
      <c r="BD282" s="24" t="s">
        <v>81</v>
      </c>
      <c r="BE282" s="25" t="s">
        <v>932</v>
      </c>
      <c r="BF282" s="27"/>
      <c r="BG282" s="27"/>
      <c r="BH282" s="27"/>
    </row>
    <row r="283" ht="14.25" customHeight="1">
      <c r="A283" s="119" t="s">
        <v>933</v>
      </c>
      <c r="B283" s="119"/>
      <c r="C283" s="120"/>
      <c r="D283" s="14"/>
      <c r="E283" s="15"/>
      <c r="F283" s="15"/>
      <c r="G283" s="12"/>
      <c r="H283" s="16"/>
      <c r="I283" s="17">
        <v>0.1429</v>
      </c>
      <c r="J283" s="18"/>
      <c r="K283" s="18" t="s">
        <v>62</v>
      </c>
      <c r="L283" s="18" t="s">
        <v>62</v>
      </c>
      <c r="M283" s="18" t="s">
        <v>264</v>
      </c>
      <c r="N283" s="18"/>
      <c r="O283" s="18" t="s">
        <v>84</v>
      </c>
      <c r="P283" s="18" t="s">
        <v>86</v>
      </c>
      <c r="Q283" s="18" t="s">
        <v>129</v>
      </c>
      <c r="R283" s="15">
        <f t="shared" si="3"/>
        <v>0</v>
      </c>
      <c r="S283" s="15">
        <v>6.0</v>
      </c>
      <c r="T283" s="15">
        <v>0.0</v>
      </c>
      <c r="U283" s="20">
        <f t="shared" si="4"/>
        <v>0</v>
      </c>
      <c r="V283" s="15">
        <f t="shared" si="5"/>
        <v>6</v>
      </c>
      <c r="W283" s="15">
        <v>0.0</v>
      </c>
      <c r="X283" s="20">
        <f t="shared" si="6"/>
        <v>0</v>
      </c>
      <c r="Y283" s="15">
        <f t="shared" ref="Y283:Z283" si="570">AE283-W283</f>
        <v>6</v>
      </c>
      <c r="Z283" s="20">
        <f t="shared" si="570"/>
        <v>1</v>
      </c>
      <c r="AA283" s="15">
        <v>0.0</v>
      </c>
      <c r="AB283" s="20">
        <f t="shared" si="8"/>
        <v>0</v>
      </c>
      <c r="AC283" s="15">
        <f t="shared" ref="AC283:AD283" si="571">AE283-AA283</f>
        <v>6</v>
      </c>
      <c r="AD283" s="20">
        <f t="shared" si="571"/>
        <v>1</v>
      </c>
      <c r="AE283" s="15">
        <v>6.0</v>
      </c>
      <c r="AF283" s="20">
        <f t="shared" si="10"/>
        <v>1</v>
      </c>
      <c r="AG283" s="15" t="e">
        <v>#N/A</v>
      </c>
      <c r="AH283" s="20" t="str">
        <f t="shared" si="11"/>
        <v>#N/A</v>
      </c>
      <c r="AI283" s="15">
        <v>6.0</v>
      </c>
      <c r="AJ283" s="15">
        <v>0.0</v>
      </c>
      <c r="AK283" s="21">
        <v>0.0</v>
      </c>
      <c r="AL283" s="22">
        <v>1.0</v>
      </c>
      <c r="AM283" s="15">
        <v>0.0</v>
      </c>
      <c r="AN283" s="15">
        <v>0.0</v>
      </c>
      <c r="AO283" s="23" t="s">
        <v>697</v>
      </c>
      <c r="AP283" s="23" t="s">
        <v>697</v>
      </c>
      <c r="AQ283" s="13" t="s">
        <v>93</v>
      </c>
      <c r="AR283" s="24" t="s">
        <v>66</v>
      </c>
      <c r="AS283" s="24"/>
      <c r="AT283" s="25" t="s">
        <v>934</v>
      </c>
      <c r="AU283" s="26" t="s">
        <v>68</v>
      </c>
      <c r="AV283" s="27"/>
      <c r="AW283" s="24" t="s">
        <v>69</v>
      </c>
      <c r="AX283" s="28"/>
      <c r="AY283" s="29" t="s">
        <v>89</v>
      </c>
      <c r="AZ283" s="29"/>
      <c r="BA283" s="28"/>
      <c r="BB283" s="26" t="s">
        <v>90</v>
      </c>
      <c r="BC283" s="27"/>
      <c r="BD283" s="34" t="s">
        <v>91</v>
      </c>
      <c r="BE283" s="34"/>
      <c r="BF283" s="27"/>
      <c r="BG283" s="27"/>
      <c r="BH283" s="27"/>
    </row>
    <row r="284" ht="14.25" customHeight="1">
      <c r="A284" s="119" t="s">
        <v>935</v>
      </c>
      <c r="B284" s="119"/>
      <c r="C284" s="120"/>
      <c r="D284" s="14"/>
      <c r="E284" s="15"/>
      <c r="F284" s="15"/>
      <c r="G284" s="12"/>
      <c r="H284" s="16"/>
      <c r="I284" s="41">
        <v>0.0</v>
      </c>
      <c r="J284" s="19"/>
      <c r="K284" s="18"/>
      <c r="L284" s="18" t="s">
        <v>84</v>
      </c>
      <c r="M284" s="19" t="s">
        <v>84</v>
      </c>
      <c r="N284" s="19"/>
      <c r="O284" s="19" t="s">
        <v>62</v>
      </c>
      <c r="P284" s="19" t="s">
        <v>62</v>
      </c>
      <c r="Q284" s="19" t="s">
        <v>62</v>
      </c>
      <c r="R284" s="15">
        <f t="shared" si="3"/>
        <v>0</v>
      </c>
      <c r="S284" s="15">
        <v>8.0</v>
      </c>
      <c r="T284" s="15">
        <v>0.0</v>
      </c>
      <c r="U284" s="20">
        <f t="shared" si="4"/>
        <v>0</v>
      </c>
      <c r="V284" s="15">
        <f t="shared" si="5"/>
        <v>8</v>
      </c>
      <c r="W284" s="15">
        <v>2.0</v>
      </c>
      <c r="X284" s="20">
        <f t="shared" si="6"/>
        <v>0.25</v>
      </c>
      <c r="Y284" s="15">
        <f t="shared" ref="Y284:Z284" si="572">AE284-W284</f>
        <v>6</v>
      </c>
      <c r="Z284" s="20">
        <f t="shared" si="572"/>
        <v>0.75</v>
      </c>
      <c r="AA284" s="15">
        <v>2.0</v>
      </c>
      <c r="AB284" s="20">
        <f t="shared" si="8"/>
        <v>0.25</v>
      </c>
      <c r="AC284" s="15">
        <f t="shared" ref="AC284:AD284" si="573">AE284-AA284</f>
        <v>6</v>
      </c>
      <c r="AD284" s="20">
        <f t="shared" si="573"/>
        <v>0.75</v>
      </c>
      <c r="AE284" s="15">
        <v>8.0</v>
      </c>
      <c r="AF284" s="20">
        <f t="shared" si="10"/>
        <v>1</v>
      </c>
      <c r="AG284" s="15" t="e">
        <v>#N/A</v>
      </c>
      <c r="AH284" s="20" t="str">
        <f t="shared" si="11"/>
        <v>#N/A</v>
      </c>
      <c r="AI284" s="15">
        <v>8.0</v>
      </c>
      <c r="AJ284" s="15">
        <v>0.0</v>
      </c>
      <c r="AK284" s="21">
        <v>0.0</v>
      </c>
      <c r="AL284" s="22">
        <v>1.0</v>
      </c>
      <c r="AM284" s="15">
        <v>0.0</v>
      </c>
      <c r="AN284" s="15">
        <v>0.0</v>
      </c>
      <c r="AO284" s="23" t="s">
        <v>697</v>
      </c>
      <c r="AP284" s="23" t="s">
        <v>697</v>
      </c>
      <c r="AQ284" s="13" t="s">
        <v>93</v>
      </c>
      <c r="AR284" s="24" t="s">
        <v>66</v>
      </c>
      <c r="AS284" s="24"/>
      <c r="AT284" s="25" t="s">
        <v>936</v>
      </c>
      <c r="AU284" s="26" t="s">
        <v>937</v>
      </c>
      <c r="AV284" s="27"/>
      <c r="AW284" s="24" t="s">
        <v>69</v>
      </c>
      <c r="AX284" s="27"/>
      <c r="AY284" s="29" t="s">
        <v>89</v>
      </c>
      <c r="AZ284" s="29"/>
      <c r="BA284" s="25"/>
      <c r="BB284" s="26" t="s">
        <v>90</v>
      </c>
      <c r="BC284" s="24"/>
      <c r="BD284" s="34" t="s">
        <v>91</v>
      </c>
      <c r="BE284" s="34"/>
      <c r="BF284" s="24"/>
      <c r="BG284" s="24"/>
      <c r="BH284" s="24" t="s">
        <v>149</v>
      </c>
    </row>
    <row r="285" ht="14.25" customHeight="1">
      <c r="A285" s="119" t="s">
        <v>938</v>
      </c>
      <c r="B285" s="119"/>
      <c r="C285" s="120"/>
      <c r="D285" s="14"/>
      <c r="E285" s="15"/>
      <c r="F285" s="15"/>
      <c r="G285" s="12"/>
      <c r="H285" s="16"/>
      <c r="I285" s="17">
        <v>0.0</v>
      </c>
      <c r="J285" s="18"/>
      <c r="K285" s="18"/>
      <c r="L285" s="18" t="s">
        <v>84</v>
      </c>
      <c r="M285" s="18" t="s">
        <v>84</v>
      </c>
      <c r="N285" s="18"/>
      <c r="O285" s="18" t="s">
        <v>84</v>
      </c>
      <c r="P285" s="18" t="s">
        <v>84</v>
      </c>
      <c r="Q285" s="18" t="s">
        <v>84</v>
      </c>
      <c r="R285" s="15">
        <f t="shared" si="3"/>
        <v>0</v>
      </c>
      <c r="S285" s="15">
        <v>1.0</v>
      </c>
      <c r="T285" s="15">
        <v>0.0</v>
      </c>
      <c r="U285" s="20">
        <f t="shared" si="4"/>
        <v>0</v>
      </c>
      <c r="V285" s="15">
        <f t="shared" si="5"/>
        <v>1</v>
      </c>
      <c r="W285" s="15">
        <v>0.0</v>
      </c>
      <c r="X285" s="20">
        <f t="shared" si="6"/>
        <v>0</v>
      </c>
      <c r="Y285" s="15">
        <f t="shared" ref="Y285:Z285" si="574">AE285-W285</f>
        <v>1</v>
      </c>
      <c r="Z285" s="20">
        <f t="shared" si="574"/>
        <v>1</v>
      </c>
      <c r="AA285" s="15">
        <v>0.0</v>
      </c>
      <c r="AB285" s="20">
        <f t="shared" si="8"/>
        <v>0</v>
      </c>
      <c r="AC285" s="15">
        <f t="shared" ref="AC285:AD285" si="575">AE285-AA285</f>
        <v>1</v>
      </c>
      <c r="AD285" s="20">
        <f t="shared" si="575"/>
        <v>1</v>
      </c>
      <c r="AE285" s="15">
        <v>1.0</v>
      </c>
      <c r="AF285" s="20">
        <f t="shared" si="10"/>
        <v>1</v>
      </c>
      <c r="AG285" s="15" t="e">
        <v>#N/A</v>
      </c>
      <c r="AH285" s="20" t="str">
        <f t="shared" si="11"/>
        <v>#N/A</v>
      </c>
      <c r="AI285" s="15">
        <v>1.0</v>
      </c>
      <c r="AJ285" s="15">
        <v>0.0</v>
      </c>
      <c r="AK285" s="21">
        <v>0.0</v>
      </c>
      <c r="AL285" s="22">
        <v>1.0</v>
      </c>
      <c r="AM285" s="15">
        <v>0.0</v>
      </c>
      <c r="AN285" s="15">
        <v>0.0</v>
      </c>
      <c r="AO285" s="23" t="s">
        <v>697</v>
      </c>
      <c r="AP285" s="23" t="s">
        <v>697</v>
      </c>
      <c r="AQ285" s="13" t="s">
        <v>108</v>
      </c>
      <c r="AR285" s="24" t="s">
        <v>66</v>
      </c>
      <c r="AS285" s="24"/>
      <c r="AT285" s="25" t="s">
        <v>939</v>
      </c>
      <c r="AU285" s="26" t="s">
        <v>68</v>
      </c>
      <c r="AV285" s="27"/>
      <c r="AW285" s="24" t="s">
        <v>69</v>
      </c>
      <c r="AX285" s="28"/>
      <c r="AY285" s="29" t="s">
        <v>89</v>
      </c>
      <c r="AZ285" s="29"/>
      <c r="BA285" s="28"/>
      <c r="BB285" s="26" t="s">
        <v>90</v>
      </c>
      <c r="BC285" s="27"/>
      <c r="BD285" s="34" t="s">
        <v>91</v>
      </c>
      <c r="BE285" s="34"/>
      <c r="BF285" s="27"/>
      <c r="BG285" s="27"/>
      <c r="BH285" s="27"/>
    </row>
    <row r="286" ht="14.25" customHeight="1">
      <c r="A286" s="12" t="s">
        <v>940</v>
      </c>
      <c r="B286" s="12"/>
      <c r="C286" s="13"/>
      <c r="D286" s="14"/>
      <c r="E286" s="15"/>
      <c r="F286" s="15"/>
      <c r="G286" s="12"/>
      <c r="H286" s="16"/>
      <c r="I286" s="17">
        <v>0.0</v>
      </c>
      <c r="J286" s="18"/>
      <c r="K286" s="18"/>
      <c r="L286" s="18" t="s">
        <v>84</v>
      </c>
      <c r="M286" s="18" t="s">
        <v>84</v>
      </c>
      <c r="N286" s="18"/>
      <c r="O286" s="18" t="s">
        <v>898</v>
      </c>
      <c r="P286" s="18" t="s">
        <v>898</v>
      </c>
      <c r="Q286" s="18" t="s">
        <v>898</v>
      </c>
      <c r="R286" s="15">
        <f t="shared" si="3"/>
        <v>0</v>
      </c>
      <c r="S286" s="15">
        <v>33.0</v>
      </c>
      <c r="T286" s="15">
        <v>0.0</v>
      </c>
      <c r="U286" s="20">
        <f t="shared" si="4"/>
        <v>0</v>
      </c>
      <c r="V286" s="15">
        <f t="shared" si="5"/>
        <v>33</v>
      </c>
      <c r="W286" s="15">
        <v>0.0</v>
      </c>
      <c r="X286" s="20">
        <f t="shared" si="6"/>
        <v>0</v>
      </c>
      <c r="Y286" s="15">
        <f t="shared" ref="Y286:Z286" si="576">AE286-W286</f>
        <v>33</v>
      </c>
      <c r="Z286" s="20">
        <f t="shared" si="576"/>
        <v>1</v>
      </c>
      <c r="AA286" s="15">
        <v>0.0</v>
      </c>
      <c r="AB286" s="20">
        <f t="shared" si="8"/>
        <v>0</v>
      </c>
      <c r="AC286" s="15">
        <f t="shared" ref="AC286:AD286" si="577">AE286-AA286</f>
        <v>33</v>
      </c>
      <c r="AD286" s="20">
        <f t="shared" si="577"/>
        <v>1</v>
      </c>
      <c r="AE286" s="15">
        <v>33.0</v>
      </c>
      <c r="AF286" s="20">
        <f t="shared" si="10"/>
        <v>1</v>
      </c>
      <c r="AG286" s="15" t="e">
        <v>#N/A</v>
      </c>
      <c r="AH286" s="20" t="str">
        <f t="shared" si="11"/>
        <v>#N/A</v>
      </c>
      <c r="AI286" s="15">
        <v>33.0</v>
      </c>
      <c r="AJ286" s="15">
        <v>0.0</v>
      </c>
      <c r="AK286" s="21">
        <v>0.0</v>
      </c>
      <c r="AL286" s="22">
        <v>1.0</v>
      </c>
      <c r="AM286" s="15">
        <v>0.0</v>
      </c>
      <c r="AN286" s="15">
        <v>0.0</v>
      </c>
      <c r="AO286" s="23" t="s">
        <v>697</v>
      </c>
      <c r="AP286" s="23" t="s">
        <v>697</v>
      </c>
      <c r="AQ286" s="13" t="s">
        <v>93</v>
      </c>
      <c r="AR286" s="24" t="s">
        <v>66</v>
      </c>
      <c r="AS286" s="24"/>
      <c r="AT286" s="25" t="s">
        <v>941</v>
      </c>
      <c r="AU286" s="26" t="s">
        <v>106</v>
      </c>
      <c r="AV286" s="27"/>
      <c r="AW286" s="24" t="s">
        <v>69</v>
      </c>
      <c r="AX286" s="28"/>
      <c r="AY286" s="29" t="s">
        <v>89</v>
      </c>
      <c r="AZ286" s="29"/>
      <c r="BA286" s="28"/>
      <c r="BB286" s="26" t="s">
        <v>90</v>
      </c>
      <c r="BC286" s="27"/>
      <c r="BD286" s="34" t="s">
        <v>91</v>
      </c>
      <c r="BE286" s="34"/>
      <c r="BF286" s="27"/>
      <c r="BG286" s="27"/>
      <c r="BH286" s="27"/>
    </row>
    <row r="287" ht="14.25" customHeight="1">
      <c r="A287" s="119" t="s">
        <v>942</v>
      </c>
      <c r="B287" s="119"/>
      <c r="C287" s="120"/>
      <c r="D287" s="14"/>
      <c r="E287" s="15"/>
      <c r="F287" s="15"/>
      <c r="G287" s="12"/>
      <c r="H287" s="16"/>
      <c r="I287" s="17">
        <v>1.0</v>
      </c>
      <c r="J287" s="18" t="s">
        <v>114</v>
      </c>
      <c r="K287" s="18" t="s">
        <v>270</v>
      </c>
      <c r="L287" s="18" t="s">
        <v>60</v>
      </c>
      <c r="M287" s="18" t="s">
        <v>60</v>
      </c>
      <c r="N287" s="18"/>
      <c r="O287" s="18" t="s">
        <v>60</v>
      </c>
      <c r="P287" s="18" t="s">
        <v>60</v>
      </c>
      <c r="Q287" s="19" t="s">
        <v>60</v>
      </c>
      <c r="R287" s="15">
        <f t="shared" si="3"/>
        <v>0</v>
      </c>
      <c r="S287" s="15">
        <v>5.0</v>
      </c>
      <c r="T287" s="15">
        <v>5.0</v>
      </c>
      <c r="U287" s="20">
        <f t="shared" si="4"/>
        <v>1</v>
      </c>
      <c r="V287" s="15">
        <f t="shared" si="5"/>
        <v>0</v>
      </c>
      <c r="W287" s="15">
        <v>5.0</v>
      </c>
      <c r="X287" s="20">
        <f t="shared" si="6"/>
        <v>1</v>
      </c>
      <c r="Y287" s="15">
        <f t="shared" ref="Y287:Z287" si="578">AE287-W287</f>
        <v>0</v>
      </c>
      <c r="Z287" s="20">
        <f t="shared" si="578"/>
        <v>0</v>
      </c>
      <c r="AA287" s="15">
        <v>5.0</v>
      </c>
      <c r="AB287" s="20">
        <f t="shared" si="8"/>
        <v>1</v>
      </c>
      <c r="AC287" s="15">
        <f t="shared" ref="AC287:AD287" si="579">AE287-AA287</f>
        <v>0</v>
      </c>
      <c r="AD287" s="20">
        <f t="shared" si="579"/>
        <v>0</v>
      </c>
      <c r="AE287" s="15">
        <v>5.0</v>
      </c>
      <c r="AF287" s="20">
        <f t="shared" si="10"/>
        <v>1</v>
      </c>
      <c r="AG287" s="15" t="e">
        <v>#N/A</v>
      </c>
      <c r="AH287" s="20" t="str">
        <f t="shared" si="11"/>
        <v>#N/A</v>
      </c>
      <c r="AI287" s="15">
        <v>5.0</v>
      </c>
      <c r="AJ287" s="15">
        <v>0.0</v>
      </c>
      <c r="AK287" s="21">
        <v>0.0</v>
      </c>
      <c r="AL287" s="22">
        <v>1.0</v>
      </c>
      <c r="AM287" s="15">
        <v>0.0</v>
      </c>
      <c r="AN287" s="15">
        <v>0.0</v>
      </c>
      <c r="AO287" s="23" t="s">
        <v>697</v>
      </c>
      <c r="AP287" s="23" t="s">
        <v>697</v>
      </c>
      <c r="AQ287" s="13" t="s">
        <v>104</v>
      </c>
      <c r="AR287" s="24" t="s">
        <v>66</v>
      </c>
      <c r="AS287" s="24"/>
      <c r="AT287" s="25" t="s">
        <v>943</v>
      </c>
      <c r="AU287" s="26" t="s">
        <v>68</v>
      </c>
      <c r="AV287" s="27"/>
      <c r="AW287" s="24" t="s">
        <v>69</v>
      </c>
      <c r="AX287" s="28"/>
      <c r="AY287" s="29" t="s">
        <v>70</v>
      </c>
      <c r="AZ287" s="32"/>
      <c r="BA287" s="25" t="s">
        <v>944</v>
      </c>
      <c r="BB287" s="26" t="s">
        <v>168</v>
      </c>
      <c r="BC287" s="24"/>
      <c r="BD287" s="24"/>
      <c r="BE287" s="27"/>
      <c r="BF287" s="27"/>
      <c r="BG287" s="27"/>
      <c r="BH287" s="27"/>
    </row>
    <row r="288" ht="14.25" customHeight="1">
      <c r="A288" s="119" t="s">
        <v>945</v>
      </c>
      <c r="B288" s="119"/>
      <c r="C288" s="120"/>
      <c r="D288" s="14"/>
      <c r="E288" s="15"/>
      <c r="F288" s="15"/>
      <c r="G288" s="12"/>
      <c r="H288" s="16"/>
      <c r="I288" s="17">
        <v>0.0</v>
      </c>
      <c r="J288" s="18"/>
      <c r="K288" s="18"/>
      <c r="L288" s="18" t="s">
        <v>84</v>
      </c>
      <c r="M288" s="18" t="s">
        <v>84</v>
      </c>
      <c r="N288" s="18"/>
      <c r="O288" s="18" t="s">
        <v>60</v>
      </c>
      <c r="P288" s="18" t="s">
        <v>60</v>
      </c>
      <c r="Q288" s="19" t="s">
        <v>60</v>
      </c>
      <c r="R288" s="15">
        <f t="shared" si="3"/>
        <v>0</v>
      </c>
      <c r="S288" s="15">
        <v>5.0</v>
      </c>
      <c r="T288" s="15">
        <v>0.0</v>
      </c>
      <c r="U288" s="20">
        <f t="shared" si="4"/>
        <v>0</v>
      </c>
      <c r="V288" s="15">
        <f t="shared" si="5"/>
        <v>5</v>
      </c>
      <c r="W288" s="15">
        <v>5.0</v>
      </c>
      <c r="X288" s="20">
        <f t="shared" si="6"/>
        <v>1</v>
      </c>
      <c r="Y288" s="15">
        <f t="shared" ref="Y288:Z288" si="580">AE288-W288</f>
        <v>0</v>
      </c>
      <c r="Z288" s="20">
        <f t="shared" si="580"/>
        <v>0</v>
      </c>
      <c r="AA288" s="15">
        <v>5.0</v>
      </c>
      <c r="AB288" s="20">
        <f t="shared" si="8"/>
        <v>1</v>
      </c>
      <c r="AC288" s="15">
        <f t="shared" ref="AC288:AD288" si="581">AE288-AA288</f>
        <v>0</v>
      </c>
      <c r="AD288" s="20">
        <f t="shared" si="581"/>
        <v>0</v>
      </c>
      <c r="AE288" s="15">
        <v>5.0</v>
      </c>
      <c r="AF288" s="20">
        <f t="shared" si="10"/>
        <v>1</v>
      </c>
      <c r="AG288" s="15" t="e">
        <v>#N/A</v>
      </c>
      <c r="AH288" s="20" t="str">
        <f t="shared" si="11"/>
        <v>#N/A</v>
      </c>
      <c r="AI288" s="15">
        <v>5.0</v>
      </c>
      <c r="AJ288" s="15">
        <v>0.0</v>
      </c>
      <c r="AK288" s="21">
        <v>0.0</v>
      </c>
      <c r="AL288" s="22">
        <v>1.0</v>
      </c>
      <c r="AM288" s="15">
        <v>0.0</v>
      </c>
      <c r="AN288" s="15">
        <v>0.0</v>
      </c>
      <c r="AO288" s="23" t="s">
        <v>697</v>
      </c>
      <c r="AP288" s="23" t="s">
        <v>697</v>
      </c>
      <c r="AQ288" s="13" t="s">
        <v>93</v>
      </c>
      <c r="AR288" s="24" t="s">
        <v>66</v>
      </c>
      <c r="AS288" s="24"/>
      <c r="AT288" s="25" t="s">
        <v>946</v>
      </c>
      <c r="AU288" s="26" t="s">
        <v>68</v>
      </c>
      <c r="AV288" s="27"/>
      <c r="AW288" s="24" t="s">
        <v>69</v>
      </c>
      <c r="AX288" s="28"/>
      <c r="AY288" s="29" t="s">
        <v>70</v>
      </c>
      <c r="AZ288" s="30"/>
      <c r="BA288" s="25" t="s">
        <v>947</v>
      </c>
      <c r="BB288" s="26" t="s">
        <v>72</v>
      </c>
      <c r="BC288" s="27"/>
      <c r="BD288" s="24" t="s">
        <v>96</v>
      </c>
      <c r="BE288" s="27"/>
      <c r="BF288" s="27"/>
      <c r="BG288" s="27"/>
      <c r="BH288" s="27"/>
    </row>
    <row r="289" ht="14.25" customHeight="1">
      <c r="A289" s="119" t="s">
        <v>948</v>
      </c>
      <c r="B289" s="119"/>
      <c r="C289" s="120"/>
      <c r="D289" s="14"/>
      <c r="E289" s="15"/>
      <c r="F289" s="15"/>
      <c r="G289" s="12"/>
      <c r="H289" s="16"/>
      <c r="I289" s="17">
        <v>0.0</v>
      </c>
      <c r="J289" s="18"/>
      <c r="K289" s="18"/>
      <c r="L289" s="18" t="s">
        <v>84</v>
      </c>
      <c r="M289" s="18" t="s">
        <v>84</v>
      </c>
      <c r="N289" s="18" t="s">
        <v>84</v>
      </c>
      <c r="O289" s="18" t="s">
        <v>129</v>
      </c>
      <c r="P289" s="18" t="s">
        <v>60</v>
      </c>
      <c r="Q289" s="19" t="s">
        <v>60</v>
      </c>
      <c r="R289" s="15">
        <f t="shared" si="3"/>
        <v>0</v>
      </c>
      <c r="S289" s="15">
        <v>9.0</v>
      </c>
      <c r="T289" s="15">
        <v>0.0</v>
      </c>
      <c r="U289" s="20">
        <f t="shared" si="4"/>
        <v>0</v>
      </c>
      <c r="V289" s="15">
        <f t="shared" si="5"/>
        <v>9</v>
      </c>
      <c r="W289" s="15">
        <v>0.0</v>
      </c>
      <c r="X289" s="20">
        <f t="shared" si="6"/>
        <v>0</v>
      </c>
      <c r="Y289" s="15">
        <f t="shared" ref="Y289:Z289" si="582">AE289-W289</f>
        <v>9</v>
      </c>
      <c r="Z289" s="20">
        <f t="shared" si="582"/>
        <v>1</v>
      </c>
      <c r="AA289" s="15">
        <v>9.0</v>
      </c>
      <c r="AB289" s="20">
        <f t="shared" si="8"/>
        <v>1</v>
      </c>
      <c r="AC289" s="15">
        <f t="shared" ref="AC289:AD289" si="583">AE289-AA289</f>
        <v>0</v>
      </c>
      <c r="AD289" s="20">
        <f t="shared" si="583"/>
        <v>0</v>
      </c>
      <c r="AE289" s="15">
        <v>9.0</v>
      </c>
      <c r="AF289" s="20">
        <f t="shared" si="10"/>
        <v>1</v>
      </c>
      <c r="AG289" s="15" t="e">
        <v>#N/A</v>
      </c>
      <c r="AH289" s="20" t="str">
        <f t="shared" si="11"/>
        <v>#N/A</v>
      </c>
      <c r="AI289" s="15">
        <v>9.0</v>
      </c>
      <c r="AJ289" s="15">
        <v>0.0</v>
      </c>
      <c r="AK289" s="21">
        <v>0.0</v>
      </c>
      <c r="AL289" s="22">
        <v>1.0</v>
      </c>
      <c r="AM289" s="15">
        <v>0.0</v>
      </c>
      <c r="AN289" s="15">
        <v>0.0</v>
      </c>
      <c r="AO289" s="23" t="s">
        <v>697</v>
      </c>
      <c r="AP289" s="23" t="s">
        <v>697</v>
      </c>
      <c r="AQ289" s="13" t="s">
        <v>93</v>
      </c>
      <c r="AR289" s="24" t="s">
        <v>66</v>
      </c>
      <c r="AS289" s="24"/>
      <c r="AT289" s="25" t="s">
        <v>949</v>
      </c>
      <c r="AU289" s="26" t="s">
        <v>118</v>
      </c>
      <c r="AV289" s="27"/>
      <c r="AW289" s="24" t="s">
        <v>133</v>
      </c>
      <c r="AX289" s="36">
        <v>42349.0</v>
      </c>
      <c r="AY289" s="29" t="s">
        <v>148</v>
      </c>
      <c r="AZ289" s="29"/>
      <c r="BA289" s="28"/>
      <c r="BB289" s="26" t="s">
        <v>90</v>
      </c>
      <c r="BC289" s="27"/>
      <c r="BD289" s="34" t="s">
        <v>91</v>
      </c>
      <c r="BE289" s="34"/>
      <c r="BF289" s="27"/>
      <c r="BG289" s="27"/>
      <c r="BH289" s="27"/>
    </row>
    <row r="290" ht="14.25" customHeight="1">
      <c r="A290" s="119" t="s">
        <v>950</v>
      </c>
      <c r="B290" s="119"/>
      <c r="C290" s="120"/>
      <c r="D290" s="14"/>
      <c r="E290" s="15"/>
      <c r="F290" s="15"/>
      <c r="G290" s="12"/>
      <c r="H290" s="16"/>
      <c r="I290" s="17">
        <v>1.0</v>
      </c>
      <c r="J290" s="18"/>
      <c r="K290" s="18" t="s">
        <v>84</v>
      </c>
      <c r="L290" s="18" t="s">
        <v>61</v>
      </c>
      <c r="M290" s="18" t="s">
        <v>60</v>
      </c>
      <c r="N290" s="18"/>
      <c r="O290" s="18" t="s">
        <v>60</v>
      </c>
      <c r="P290" s="18" t="s">
        <v>60</v>
      </c>
      <c r="Q290" s="19" t="s">
        <v>60</v>
      </c>
      <c r="R290" s="15">
        <f t="shared" si="3"/>
        <v>0</v>
      </c>
      <c r="S290" s="15">
        <v>3.0</v>
      </c>
      <c r="T290" s="15">
        <v>3.0</v>
      </c>
      <c r="U290" s="20">
        <f t="shared" si="4"/>
        <v>1</v>
      </c>
      <c r="V290" s="15">
        <f t="shared" si="5"/>
        <v>0</v>
      </c>
      <c r="W290" s="15">
        <v>3.0</v>
      </c>
      <c r="X290" s="20">
        <f t="shared" si="6"/>
        <v>1</v>
      </c>
      <c r="Y290" s="15">
        <f t="shared" ref="Y290:Z290" si="584">AE290-W290</f>
        <v>0</v>
      </c>
      <c r="Z290" s="20">
        <f t="shared" si="584"/>
        <v>0</v>
      </c>
      <c r="AA290" s="15">
        <v>3.0</v>
      </c>
      <c r="AB290" s="20">
        <f t="shared" si="8"/>
        <v>1</v>
      </c>
      <c r="AC290" s="15">
        <f t="shared" ref="AC290:AD290" si="585">AE290-AA290</f>
        <v>0</v>
      </c>
      <c r="AD290" s="20">
        <f t="shared" si="585"/>
        <v>0</v>
      </c>
      <c r="AE290" s="15">
        <v>3.0</v>
      </c>
      <c r="AF290" s="20">
        <f t="shared" si="10"/>
        <v>1</v>
      </c>
      <c r="AG290" s="15" t="e">
        <v>#N/A</v>
      </c>
      <c r="AH290" s="20" t="str">
        <f t="shared" si="11"/>
        <v>#N/A</v>
      </c>
      <c r="AI290" s="15">
        <v>3.0</v>
      </c>
      <c r="AJ290" s="15">
        <v>0.0</v>
      </c>
      <c r="AK290" s="21">
        <v>0.0</v>
      </c>
      <c r="AL290" s="22">
        <v>1.0</v>
      </c>
      <c r="AM290" s="15">
        <v>0.0</v>
      </c>
      <c r="AN290" s="15">
        <v>0.0</v>
      </c>
      <c r="AO290" s="23" t="s">
        <v>697</v>
      </c>
      <c r="AP290" s="23" t="s">
        <v>697</v>
      </c>
      <c r="AQ290" s="13" t="s">
        <v>93</v>
      </c>
      <c r="AR290" s="24" t="s">
        <v>66</v>
      </c>
      <c r="AS290" s="24"/>
      <c r="AT290" s="52" t="s">
        <v>951</v>
      </c>
      <c r="AU290" s="26" t="s">
        <v>253</v>
      </c>
      <c r="AV290" s="27"/>
      <c r="AW290" s="24" t="s">
        <v>133</v>
      </c>
      <c r="AX290" s="42">
        <v>46002.0</v>
      </c>
      <c r="AY290" s="29" t="s">
        <v>254</v>
      </c>
      <c r="AZ290" s="30"/>
      <c r="BA290" s="25" t="s">
        <v>921</v>
      </c>
      <c r="BB290" s="26" t="s">
        <v>168</v>
      </c>
      <c r="BC290" s="27"/>
      <c r="BD290" s="24" t="s">
        <v>112</v>
      </c>
      <c r="BE290" s="27"/>
      <c r="BF290" s="27"/>
      <c r="BG290" s="27"/>
      <c r="BH290" s="27"/>
    </row>
    <row r="291" ht="14.25" customHeight="1">
      <c r="A291" s="115" t="s">
        <v>952</v>
      </c>
      <c r="B291" s="115"/>
      <c r="C291" s="132"/>
      <c r="D291" s="75"/>
      <c r="E291" s="76"/>
      <c r="F291" s="76"/>
      <c r="G291" s="73"/>
      <c r="H291" s="77"/>
      <c r="I291" s="78">
        <v>0.0345</v>
      </c>
      <c r="J291" s="79"/>
      <c r="K291" s="79"/>
      <c r="L291" s="79" t="s">
        <v>84</v>
      </c>
      <c r="M291" s="79" t="s">
        <v>512</v>
      </c>
      <c r="N291" s="79" t="s">
        <v>62</v>
      </c>
      <c r="O291" s="79" t="s">
        <v>85</v>
      </c>
      <c r="P291" s="80" t="s">
        <v>62</v>
      </c>
      <c r="Q291" s="80" t="s">
        <v>62</v>
      </c>
      <c r="R291" s="76">
        <f t="shared" si="3"/>
        <v>0</v>
      </c>
      <c r="S291" s="76">
        <v>8.0</v>
      </c>
      <c r="T291" s="76">
        <v>0.0</v>
      </c>
      <c r="U291" s="20">
        <f t="shared" si="4"/>
        <v>0</v>
      </c>
      <c r="V291" s="15">
        <f t="shared" si="5"/>
        <v>8</v>
      </c>
      <c r="W291" s="76">
        <v>4.0</v>
      </c>
      <c r="X291" s="81">
        <f t="shared" si="6"/>
        <v>0.5</v>
      </c>
      <c r="Y291" s="76">
        <f t="shared" ref="Y291:Z291" si="586">AE291-W291</f>
        <v>4</v>
      </c>
      <c r="Z291" s="81">
        <f t="shared" si="586"/>
        <v>0.5</v>
      </c>
      <c r="AA291" s="76">
        <v>4.0</v>
      </c>
      <c r="AB291" s="81">
        <f t="shared" si="8"/>
        <v>0.5</v>
      </c>
      <c r="AC291" s="76">
        <f t="shared" ref="AC291:AD291" si="587">AE291-AA291</f>
        <v>4</v>
      </c>
      <c r="AD291" s="81">
        <f t="shared" si="587"/>
        <v>0.5</v>
      </c>
      <c r="AE291" s="76">
        <v>8.0</v>
      </c>
      <c r="AF291" s="81">
        <f t="shared" si="10"/>
        <v>1</v>
      </c>
      <c r="AG291" s="76" t="e">
        <v>#N/A</v>
      </c>
      <c r="AH291" s="81" t="str">
        <f t="shared" si="11"/>
        <v>#N/A</v>
      </c>
      <c r="AI291" s="76">
        <v>8.0</v>
      </c>
      <c r="AJ291" s="76">
        <v>0.0</v>
      </c>
      <c r="AK291" s="82">
        <v>0.0</v>
      </c>
      <c r="AL291" s="83">
        <v>1.0</v>
      </c>
      <c r="AM291" s="76">
        <v>0.0</v>
      </c>
      <c r="AN291" s="76">
        <v>0.0</v>
      </c>
      <c r="AO291" s="84" t="s">
        <v>697</v>
      </c>
      <c r="AP291" s="84" t="s">
        <v>697</v>
      </c>
      <c r="AQ291" s="85" t="s">
        <v>108</v>
      </c>
      <c r="AR291" s="86" t="s">
        <v>66</v>
      </c>
      <c r="AS291" s="86"/>
      <c r="AT291" s="87" t="s">
        <v>953</v>
      </c>
      <c r="AU291" s="88" t="s">
        <v>68</v>
      </c>
      <c r="AV291" s="93"/>
      <c r="AW291" s="86" t="s">
        <v>79</v>
      </c>
      <c r="AX291" s="90"/>
      <c r="AY291" s="91" t="s">
        <v>359</v>
      </c>
      <c r="AZ291" s="32"/>
      <c r="BA291" s="92" t="s">
        <v>954</v>
      </c>
      <c r="BB291" s="88" t="s">
        <v>90</v>
      </c>
      <c r="BC291" s="93"/>
      <c r="BD291" s="94" t="s">
        <v>91</v>
      </c>
      <c r="BE291" s="94"/>
      <c r="BF291" s="93"/>
      <c r="BG291" s="93"/>
      <c r="BH291" s="93"/>
    </row>
    <row r="292" ht="14.25" customHeight="1">
      <c r="A292" s="12" t="s">
        <v>955</v>
      </c>
      <c r="B292" s="12"/>
      <c r="C292" s="13"/>
      <c r="D292" s="14"/>
      <c r="E292" s="15"/>
      <c r="F292" s="15"/>
      <c r="G292" s="12"/>
      <c r="H292" s="16"/>
      <c r="I292" s="17">
        <v>1.0</v>
      </c>
      <c r="J292" s="18"/>
      <c r="K292" s="18" t="s">
        <v>151</v>
      </c>
      <c r="L292" s="18" t="s">
        <v>61</v>
      </c>
      <c r="M292" s="18" t="s">
        <v>60</v>
      </c>
      <c r="N292" s="18"/>
      <c r="O292" s="18" t="s">
        <v>60</v>
      </c>
      <c r="P292" s="18" t="s">
        <v>60</v>
      </c>
      <c r="Q292" s="19" t="s">
        <v>60</v>
      </c>
      <c r="R292" s="15">
        <f t="shared" si="3"/>
        <v>0</v>
      </c>
      <c r="S292" s="15">
        <v>13.0</v>
      </c>
      <c r="T292" s="15">
        <v>13.0</v>
      </c>
      <c r="U292" s="20">
        <f t="shared" si="4"/>
        <v>1</v>
      </c>
      <c r="V292" s="15">
        <f t="shared" si="5"/>
        <v>0</v>
      </c>
      <c r="W292" s="15">
        <v>13.0</v>
      </c>
      <c r="X292" s="20">
        <f t="shared" si="6"/>
        <v>1</v>
      </c>
      <c r="Y292" s="15">
        <f t="shared" ref="Y292:Z292" si="588">AE292-W292</f>
        <v>0</v>
      </c>
      <c r="Z292" s="20">
        <f t="shared" si="588"/>
        <v>0</v>
      </c>
      <c r="AA292" s="15">
        <v>13.0</v>
      </c>
      <c r="AB292" s="20">
        <f t="shared" si="8"/>
        <v>1</v>
      </c>
      <c r="AC292" s="15">
        <f t="shared" ref="AC292:AD292" si="589">AE292-AA292</f>
        <v>0</v>
      </c>
      <c r="AD292" s="20">
        <f t="shared" si="589"/>
        <v>0</v>
      </c>
      <c r="AE292" s="15">
        <v>13.0</v>
      </c>
      <c r="AF292" s="20">
        <f t="shared" si="10"/>
        <v>1</v>
      </c>
      <c r="AG292" s="15" t="e">
        <v>#N/A</v>
      </c>
      <c r="AH292" s="20" t="str">
        <f t="shared" si="11"/>
        <v>#N/A</v>
      </c>
      <c r="AI292" s="15">
        <v>13.0</v>
      </c>
      <c r="AJ292" s="15">
        <v>0.0</v>
      </c>
      <c r="AK292" s="21">
        <v>0.0</v>
      </c>
      <c r="AL292" s="22">
        <v>1.0</v>
      </c>
      <c r="AM292" s="15">
        <v>0.0</v>
      </c>
      <c r="AN292" s="15">
        <v>0.0</v>
      </c>
      <c r="AO292" s="23" t="s">
        <v>697</v>
      </c>
      <c r="AP292" s="23" t="s">
        <v>697</v>
      </c>
      <c r="AQ292" s="13" t="s">
        <v>77</v>
      </c>
      <c r="AR292" s="24" t="s">
        <v>66</v>
      </c>
      <c r="AS292" s="24"/>
      <c r="AT292" s="25" t="s">
        <v>956</v>
      </c>
      <c r="AU292" s="26" t="s">
        <v>68</v>
      </c>
      <c r="AV292" s="27"/>
      <c r="AW292" s="24" t="s">
        <v>69</v>
      </c>
      <c r="AX292" s="28"/>
      <c r="AY292" s="29" t="s">
        <v>70</v>
      </c>
      <c r="AZ292" s="121"/>
      <c r="BA292" s="25" t="s">
        <v>957</v>
      </c>
      <c r="BB292" s="26" t="s">
        <v>72</v>
      </c>
      <c r="BC292" s="27"/>
      <c r="BD292" s="24" t="s">
        <v>112</v>
      </c>
      <c r="BE292" s="27"/>
      <c r="BF292" s="27"/>
      <c r="BG292" s="27"/>
      <c r="BH292" s="27"/>
    </row>
    <row r="293" ht="14.25" customHeight="1">
      <c r="A293" s="12" t="s">
        <v>958</v>
      </c>
      <c r="B293" s="12"/>
      <c r="C293" s="13"/>
      <c r="D293" s="14"/>
      <c r="E293" s="15"/>
      <c r="F293" s="15"/>
      <c r="G293" s="12"/>
      <c r="H293" s="16"/>
      <c r="I293" s="17">
        <v>1.0</v>
      </c>
      <c r="J293" s="18"/>
      <c r="K293" s="18" t="s">
        <v>62</v>
      </c>
      <c r="L293" s="18" t="s">
        <v>61</v>
      </c>
      <c r="M293" s="18" t="s">
        <v>60</v>
      </c>
      <c r="N293" s="18"/>
      <c r="O293" s="18" t="s">
        <v>60</v>
      </c>
      <c r="P293" s="18" t="s">
        <v>60</v>
      </c>
      <c r="Q293" s="19" t="s">
        <v>60</v>
      </c>
      <c r="R293" s="15">
        <f t="shared" si="3"/>
        <v>0</v>
      </c>
      <c r="S293" s="15">
        <v>12.0</v>
      </c>
      <c r="T293" s="15">
        <v>12.0</v>
      </c>
      <c r="U293" s="20">
        <f t="shared" si="4"/>
        <v>1</v>
      </c>
      <c r="V293" s="15">
        <f t="shared" si="5"/>
        <v>0</v>
      </c>
      <c r="W293" s="15">
        <v>12.0</v>
      </c>
      <c r="X293" s="20">
        <f t="shared" si="6"/>
        <v>1</v>
      </c>
      <c r="Y293" s="15">
        <f t="shared" ref="Y293:Z293" si="590">AE293-W293</f>
        <v>0</v>
      </c>
      <c r="Z293" s="20">
        <f t="shared" si="590"/>
        <v>0</v>
      </c>
      <c r="AA293" s="15">
        <v>12.0</v>
      </c>
      <c r="AB293" s="20">
        <f t="shared" si="8"/>
        <v>1</v>
      </c>
      <c r="AC293" s="15">
        <f t="shared" ref="AC293:AD293" si="591">AE293-AA293</f>
        <v>0</v>
      </c>
      <c r="AD293" s="20">
        <f t="shared" si="591"/>
        <v>0</v>
      </c>
      <c r="AE293" s="15">
        <v>12.0</v>
      </c>
      <c r="AF293" s="20">
        <f t="shared" si="10"/>
        <v>1</v>
      </c>
      <c r="AG293" s="15" t="e">
        <v>#N/A</v>
      </c>
      <c r="AH293" s="20" t="str">
        <f t="shared" si="11"/>
        <v>#N/A</v>
      </c>
      <c r="AI293" s="15">
        <v>12.0</v>
      </c>
      <c r="AJ293" s="15">
        <v>0.0</v>
      </c>
      <c r="AK293" s="21">
        <v>0.0</v>
      </c>
      <c r="AL293" s="22">
        <v>1.0</v>
      </c>
      <c r="AM293" s="15">
        <v>0.0</v>
      </c>
      <c r="AN293" s="15">
        <v>0.0</v>
      </c>
      <c r="AO293" s="23" t="s">
        <v>697</v>
      </c>
      <c r="AP293" s="23" t="s">
        <v>697</v>
      </c>
      <c r="AQ293" s="13" t="s">
        <v>93</v>
      </c>
      <c r="AR293" s="24" t="s">
        <v>66</v>
      </c>
      <c r="AS293" s="24"/>
      <c r="AT293" s="52" t="s">
        <v>959</v>
      </c>
      <c r="AU293" s="26" t="s">
        <v>253</v>
      </c>
      <c r="AV293" s="27"/>
      <c r="AW293" s="24" t="s">
        <v>133</v>
      </c>
      <c r="AX293" s="36">
        <v>46002.0</v>
      </c>
      <c r="AY293" s="29" t="s">
        <v>254</v>
      </c>
      <c r="AZ293" s="32"/>
      <c r="BA293" s="25" t="s">
        <v>960</v>
      </c>
      <c r="BB293" s="26" t="s">
        <v>168</v>
      </c>
      <c r="BC293" s="27"/>
      <c r="BD293" s="24" t="s">
        <v>112</v>
      </c>
      <c r="BE293" s="28"/>
      <c r="BF293" s="27"/>
      <c r="BG293" s="27"/>
      <c r="BH293" s="27"/>
    </row>
    <row r="294" ht="14.25" customHeight="1">
      <c r="A294" s="119" t="s">
        <v>961</v>
      </c>
      <c r="B294" s="119"/>
      <c r="C294" s="120"/>
      <c r="D294" s="14"/>
      <c r="E294" s="15"/>
      <c r="F294" s="15"/>
      <c r="G294" s="39"/>
      <c r="H294" s="18"/>
      <c r="I294" s="17">
        <v>1.0</v>
      </c>
      <c r="J294" s="18" t="s">
        <v>114</v>
      </c>
      <c r="K294" s="18" t="s">
        <v>115</v>
      </c>
      <c r="L294" s="18" t="s">
        <v>60</v>
      </c>
      <c r="M294" s="18" t="s">
        <v>60</v>
      </c>
      <c r="N294" s="18"/>
      <c r="O294" s="18" t="s">
        <v>60</v>
      </c>
      <c r="P294" s="18" t="s">
        <v>60</v>
      </c>
      <c r="Q294" s="19" t="s">
        <v>60</v>
      </c>
      <c r="R294" s="15">
        <f t="shared" si="3"/>
        <v>0</v>
      </c>
      <c r="S294" s="15">
        <v>1.0</v>
      </c>
      <c r="T294" s="15">
        <v>1.0</v>
      </c>
      <c r="U294" s="20">
        <f t="shared" si="4"/>
        <v>1</v>
      </c>
      <c r="V294" s="15">
        <f t="shared" si="5"/>
        <v>0</v>
      </c>
      <c r="W294" s="15">
        <v>1.0</v>
      </c>
      <c r="X294" s="20">
        <f t="shared" si="6"/>
        <v>1</v>
      </c>
      <c r="Y294" s="15">
        <f t="shared" ref="Y294:Z294" si="592">AE294-W294</f>
        <v>0</v>
      </c>
      <c r="Z294" s="20">
        <f t="shared" si="592"/>
        <v>0</v>
      </c>
      <c r="AA294" s="15">
        <v>1.0</v>
      </c>
      <c r="AB294" s="20">
        <f t="shared" si="8"/>
        <v>1</v>
      </c>
      <c r="AC294" s="15">
        <f t="shared" ref="AC294:AD294" si="593">AE294-AA294</f>
        <v>0</v>
      </c>
      <c r="AD294" s="20">
        <f t="shared" si="593"/>
        <v>0</v>
      </c>
      <c r="AE294" s="15">
        <v>1.0</v>
      </c>
      <c r="AF294" s="20">
        <f t="shared" si="10"/>
        <v>1</v>
      </c>
      <c r="AG294" s="15" t="e">
        <v>#N/A</v>
      </c>
      <c r="AH294" s="20" t="str">
        <f t="shared" si="11"/>
        <v>#N/A</v>
      </c>
      <c r="AI294" s="15">
        <v>1.0</v>
      </c>
      <c r="AJ294" s="15">
        <v>0.0</v>
      </c>
      <c r="AK294" s="21">
        <v>0.0</v>
      </c>
      <c r="AL294" s="22">
        <v>1.0</v>
      </c>
      <c r="AM294" s="15">
        <v>0.0</v>
      </c>
      <c r="AN294" s="15">
        <v>0.0</v>
      </c>
      <c r="AO294" s="23" t="s">
        <v>697</v>
      </c>
      <c r="AP294" s="23" t="s">
        <v>697</v>
      </c>
      <c r="AQ294" s="13" t="s">
        <v>108</v>
      </c>
      <c r="AR294" s="24" t="s">
        <v>66</v>
      </c>
      <c r="AS294" s="24"/>
      <c r="AT294" s="52" t="s">
        <v>962</v>
      </c>
      <c r="AU294" s="26" t="s">
        <v>253</v>
      </c>
      <c r="AV294" s="27"/>
      <c r="AW294" s="24" t="s">
        <v>133</v>
      </c>
      <c r="AX294" s="42">
        <v>46002.0</v>
      </c>
      <c r="AY294" s="29" t="s">
        <v>70</v>
      </c>
      <c r="AZ294" s="30"/>
      <c r="BA294" s="25" t="s">
        <v>963</v>
      </c>
      <c r="BB294" s="26" t="s">
        <v>72</v>
      </c>
      <c r="BC294" s="27"/>
      <c r="BD294" s="24" t="s">
        <v>73</v>
      </c>
      <c r="BE294" s="27"/>
      <c r="BF294" s="27"/>
      <c r="BG294" s="27"/>
      <c r="BH294" s="27"/>
    </row>
    <row r="295" ht="14.25" customHeight="1">
      <c r="A295" s="119" t="s">
        <v>964</v>
      </c>
      <c r="B295" s="119"/>
      <c r="C295" s="120"/>
      <c r="D295" s="14"/>
      <c r="E295" s="15"/>
      <c r="F295" s="19"/>
      <c r="G295" s="12"/>
      <c r="H295" s="16"/>
      <c r="I295" s="17">
        <v>0.2667</v>
      </c>
      <c r="J295" s="18"/>
      <c r="K295" s="18" t="s">
        <v>965</v>
      </c>
      <c r="L295" s="18" t="s">
        <v>965</v>
      </c>
      <c r="M295" s="18" t="s">
        <v>515</v>
      </c>
      <c r="N295" s="18"/>
      <c r="O295" s="18" t="s">
        <v>898</v>
      </c>
      <c r="P295" s="18" t="s">
        <v>898</v>
      </c>
      <c r="Q295" s="18" t="s">
        <v>898</v>
      </c>
      <c r="R295" s="15">
        <f t="shared" si="3"/>
        <v>0</v>
      </c>
      <c r="S295" s="15">
        <v>4.0</v>
      </c>
      <c r="T295" s="15">
        <v>0.0</v>
      </c>
      <c r="U295" s="20">
        <f t="shared" si="4"/>
        <v>0</v>
      </c>
      <c r="V295" s="15">
        <f t="shared" si="5"/>
        <v>4</v>
      </c>
      <c r="W295" s="15">
        <v>0.0</v>
      </c>
      <c r="X295" s="20">
        <f t="shared" si="6"/>
        <v>0</v>
      </c>
      <c r="Y295" s="15">
        <f t="shared" ref="Y295:Z295" si="594">AE295-W295</f>
        <v>4</v>
      </c>
      <c r="Z295" s="20">
        <f t="shared" si="594"/>
        <v>1</v>
      </c>
      <c r="AA295" s="15">
        <v>0.0</v>
      </c>
      <c r="AB295" s="20">
        <f t="shared" si="8"/>
        <v>0</v>
      </c>
      <c r="AC295" s="15">
        <f t="shared" ref="AC295:AD295" si="595">AE295-AA295</f>
        <v>4</v>
      </c>
      <c r="AD295" s="20">
        <f t="shared" si="595"/>
        <v>1</v>
      </c>
      <c r="AE295" s="15">
        <v>4.0</v>
      </c>
      <c r="AF295" s="20">
        <f t="shared" si="10"/>
        <v>1</v>
      </c>
      <c r="AG295" s="15" t="e">
        <v>#N/A</v>
      </c>
      <c r="AH295" s="20" t="str">
        <f t="shared" si="11"/>
        <v>#N/A</v>
      </c>
      <c r="AI295" s="15">
        <v>4.0</v>
      </c>
      <c r="AJ295" s="15">
        <v>0.0</v>
      </c>
      <c r="AK295" s="21">
        <v>0.0</v>
      </c>
      <c r="AL295" s="22">
        <v>1.0</v>
      </c>
      <c r="AM295" s="15">
        <v>0.0</v>
      </c>
      <c r="AN295" s="15">
        <v>0.0</v>
      </c>
      <c r="AO295" s="23" t="s">
        <v>697</v>
      </c>
      <c r="AP295" s="23" t="s">
        <v>697</v>
      </c>
      <c r="AQ295" s="13" t="s">
        <v>108</v>
      </c>
      <c r="AR295" s="24" t="s">
        <v>66</v>
      </c>
      <c r="AS295" s="24"/>
      <c r="AT295" s="25" t="s">
        <v>966</v>
      </c>
      <c r="AU295" s="26" t="s">
        <v>106</v>
      </c>
      <c r="AV295" s="27"/>
      <c r="AW295" s="24" t="s">
        <v>69</v>
      </c>
      <c r="AX295" s="28"/>
      <c r="AY295" s="29" t="s">
        <v>89</v>
      </c>
      <c r="AZ295" s="29"/>
      <c r="BA295" s="28"/>
      <c r="BB295" s="26" t="s">
        <v>90</v>
      </c>
      <c r="BC295" s="27"/>
      <c r="BD295" s="34" t="s">
        <v>91</v>
      </c>
      <c r="BE295" s="34"/>
      <c r="BF295" s="27"/>
      <c r="BG295" s="27"/>
      <c r="BH295" s="27"/>
    </row>
    <row r="296" ht="14.25" customHeight="1">
      <c r="A296" s="119" t="s">
        <v>967</v>
      </c>
      <c r="B296" s="119"/>
      <c r="C296" s="120"/>
      <c r="D296" s="14"/>
      <c r="E296" s="15"/>
      <c r="F296" s="15"/>
      <c r="G296" s="12"/>
      <c r="H296" s="16"/>
      <c r="I296" s="17">
        <v>0.0</v>
      </c>
      <c r="J296" s="18"/>
      <c r="K296" s="18"/>
      <c r="L296" s="18" t="s">
        <v>84</v>
      </c>
      <c r="M296" s="18" t="s">
        <v>84</v>
      </c>
      <c r="N296" s="18"/>
      <c r="O296" s="18" t="s">
        <v>898</v>
      </c>
      <c r="P296" s="18" t="s">
        <v>898</v>
      </c>
      <c r="Q296" s="18" t="s">
        <v>898</v>
      </c>
      <c r="R296" s="15">
        <f t="shared" si="3"/>
        <v>0</v>
      </c>
      <c r="S296" s="15">
        <v>6.0</v>
      </c>
      <c r="T296" s="15">
        <v>0.0</v>
      </c>
      <c r="U296" s="20">
        <f t="shared" si="4"/>
        <v>0</v>
      </c>
      <c r="V296" s="15">
        <f t="shared" si="5"/>
        <v>6</v>
      </c>
      <c r="W296" s="15">
        <v>0.0</v>
      </c>
      <c r="X296" s="20">
        <f t="shared" si="6"/>
        <v>0</v>
      </c>
      <c r="Y296" s="15">
        <f t="shared" ref="Y296:Z296" si="596">AE296-W296</f>
        <v>6</v>
      </c>
      <c r="Z296" s="20">
        <f t="shared" si="596"/>
        <v>1</v>
      </c>
      <c r="AA296" s="15">
        <v>0.0</v>
      </c>
      <c r="AB296" s="20">
        <f t="shared" si="8"/>
        <v>0</v>
      </c>
      <c r="AC296" s="15">
        <f t="shared" ref="AC296:AD296" si="597">AE296-AA296</f>
        <v>6</v>
      </c>
      <c r="AD296" s="20">
        <f t="shared" si="597"/>
        <v>1</v>
      </c>
      <c r="AE296" s="15">
        <v>6.0</v>
      </c>
      <c r="AF296" s="20">
        <f t="shared" si="10"/>
        <v>1</v>
      </c>
      <c r="AG296" s="15" t="e">
        <v>#N/A</v>
      </c>
      <c r="AH296" s="20" t="str">
        <f t="shared" si="11"/>
        <v>#N/A</v>
      </c>
      <c r="AI296" s="15">
        <v>6.0</v>
      </c>
      <c r="AJ296" s="15">
        <v>0.0</v>
      </c>
      <c r="AK296" s="21">
        <v>0.0</v>
      </c>
      <c r="AL296" s="22">
        <v>1.0</v>
      </c>
      <c r="AM296" s="15">
        <v>0.0</v>
      </c>
      <c r="AN296" s="15">
        <v>0.0</v>
      </c>
      <c r="AO296" s="23" t="s">
        <v>697</v>
      </c>
      <c r="AP296" s="23" t="s">
        <v>697</v>
      </c>
      <c r="AQ296" s="13" t="s">
        <v>104</v>
      </c>
      <c r="AR296" s="24" t="s">
        <v>66</v>
      </c>
      <c r="AS296" s="24"/>
      <c r="AT296" s="25" t="s">
        <v>968</v>
      </c>
      <c r="AU296" s="26" t="s">
        <v>106</v>
      </c>
      <c r="AV296" s="27"/>
      <c r="AW296" s="24" t="s">
        <v>69</v>
      </c>
      <c r="AX296" s="28"/>
      <c r="AY296" s="29" t="s">
        <v>89</v>
      </c>
      <c r="AZ296" s="29"/>
      <c r="BA296" s="28"/>
      <c r="BB296" s="26" t="s">
        <v>90</v>
      </c>
      <c r="BC296" s="27"/>
      <c r="BD296" s="34" t="s">
        <v>91</v>
      </c>
      <c r="BE296" s="34"/>
      <c r="BF296" s="27"/>
      <c r="BG296" s="27"/>
      <c r="BH296" s="27"/>
    </row>
    <row r="297" ht="14.25" customHeight="1">
      <c r="A297" s="119"/>
      <c r="B297" s="119"/>
      <c r="C297" s="120"/>
      <c r="D297" s="14"/>
      <c r="E297" s="15"/>
      <c r="F297" s="15"/>
      <c r="G297" s="12"/>
      <c r="H297" s="16"/>
      <c r="I297" s="65"/>
      <c r="J297" s="16"/>
      <c r="K297" s="16"/>
      <c r="L297" s="16"/>
      <c r="M297" s="16"/>
      <c r="N297" s="16"/>
      <c r="O297" s="16"/>
      <c r="P297" s="16"/>
      <c r="Q297" s="16"/>
      <c r="R297" s="15"/>
      <c r="S297" s="15">
        <f t="shared" ref="S297:T297" si="598">SUM(S2:S296)</f>
        <v>16543</v>
      </c>
      <c r="T297" s="15">
        <f t="shared" si="598"/>
        <v>3540</v>
      </c>
      <c r="U297" s="20">
        <f t="shared" si="4"/>
        <v>0.2139877894</v>
      </c>
      <c r="V297" s="15"/>
      <c r="W297" s="15">
        <f>SUM(W2:W296)</f>
        <v>4709</v>
      </c>
      <c r="X297" s="20">
        <f t="shared" si="6"/>
        <v>0.2846521187</v>
      </c>
      <c r="Y297" s="15">
        <f>AE297-W297</f>
        <v>3069</v>
      </c>
      <c r="Z297" s="20"/>
      <c r="AA297" s="15">
        <f>SUM(AA2:AA296)</f>
        <v>5874</v>
      </c>
      <c r="AB297" s="20">
        <f t="shared" si="8"/>
        <v>0.3550746539</v>
      </c>
      <c r="AC297" s="15">
        <f t="shared" ref="AC297:AD297" si="599">AE297-AA297</f>
        <v>1904</v>
      </c>
      <c r="AD297" s="20">
        <f t="shared" si="599"/>
        <v>0.1150939975</v>
      </c>
      <c r="AE297" s="15">
        <f>SUM(AE2:AE296)</f>
        <v>7778</v>
      </c>
      <c r="AF297" s="20">
        <f t="shared" si="10"/>
        <v>0.4701686514</v>
      </c>
      <c r="AG297" s="15"/>
      <c r="AH297" s="20"/>
      <c r="AI297" s="15"/>
      <c r="AJ297" s="15"/>
      <c r="AK297" s="21"/>
      <c r="AL297" s="22"/>
      <c r="AM297" s="15"/>
      <c r="AN297" s="15"/>
      <c r="AO297" s="23"/>
      <c r="AP297" s="23"/>
      <c r="AQ297" s="13"/>
      <c r="AR297" s="24"/>
      <c r="AS297" s="24"/>
      <c r="AT297" s="25"/>
      <c r="AU297" s="26"/>
      <c r="AV297" s="27"/>
      <c r="AW297" s="24"/>
      <c r="AX297" s="28"/>
      <c r="AY297" s="122"/>
      <c r="AZ297" s="122"/>
      <c r="BA297" s="28"/>
      <c r="BB297" s="26"/>
      <c r="BC297" s="27"/>
      <c r="BD297" s="27"/>
      <c r="BE297" s="27"/>
      <c r="BF297" s="27"/>
      <c r="BG297" s="27"/>
      <c r="BH297" s="27"/>
    </row>
  </sheetData>
  <autoFilter ref="$B$1:$BH$297"/>
  <conditionalFormatting sqref="A2:B297">
    <cfRule type="notContainsBlanks" dxfId="1" priority="1">
      <formula>LEN(TRIM(A2))&gt;0</formula>
    </cfRule>
  </conditionalFormatting>
  <dataValidations>
    <dataValidation type="list" allowBlank="1" showErrorMessage="1" sqref="K2:Q233 I234:Q234 K235:Q296">
      <formula1>"Ликвидировали долг,Частично ликвидировали долг,Отправили посылку,Не отправили посылку,%долга вырос,Самостоятельно ликвидировали долг,Посылка получена,Нужно вернуть посылку в Докси,Разобраться с посылкой,сломался,Вернула посылку по Докси,Есть претензия,Зай"&amp;"дем через менеджера,интегратор,Выставляем претензию,Мало отправили,VIP"</formula1>
    </dataValidation>
    <dataValidation type="list" allowBlank="1" showErrorMessage="1" sqref="AW2:AW297">
      <formula1>"Конец ноября,Середина декабря,Конец декабря,Срок от клиента,Срок для клиента"</formula1>
    </dataValidation>
    <dataValidation type="list" allowBlank="1" showErrorMessage="1" sqref="BB2:BB296">
      <formula1>"Прошел второй звонок,Недозвон 1-2 раз,Недозвон,Отказ разговаривать, направили письмо,Запросил повестку,Перезвон,Админ не админ,Отправили посылку,Написать письмо,Письмо написано,Не надо звонить,Вера свяжется сама,отказ разговариватт"</formula1>
    </dataValidation>
    <dataValidation type="list" allowBlank="1" showErrorMessage="1" sqref="AU271">
      <formula1>"Прошел первый звонок,Недозвон 1-2 раз,Недозвон,Отказ разговаривать, направили письмо,Запросил повестку,Перезвон,Админ не админ,Самостоятельно ликвидировал долг,уже звонили по другому КЦР"</formula1>
    </dataValidation>
    <dataValidation type="list" allowBlank="1" showErrorMessage="1" sqref="AU2:AU270 AU272:AU297">
      <formula1>"Прошел первый звонок,Недозвон 1-2 раз,Недозвон,Отказ разговаривать, направили письмо,Запросил повестку,Перезвон,Админ не админ,Самостоятельно ликвидировал долг,Написать письмо,Письмо написано,Отреагировали на письмо,Реакции на письмо не было"</formula1>
    </dataValidation>
    <dataValidation type="list" allowBlank="1" showErrorMessage="1" sqref="AR2:AR297">
      <formula1>"Да,Нет"</formula1>
    </dataValidation>
    <dataValidation type="list" allowBlank="1" showErrorMessage="1" sqref="AY2:AY296">
      <formula1>"Да, ничего не отправили,Да, отправили но мало,Напомнить про 4 кв,Нет, все отлично,Нет, ждем посылки,Нет, ждем проверки посылок,Нет, передала в ООД,Нет, Вера сама,Звоним один раз,Да,звоним в апреле,Напомнить про 1 кв"</formula1>
    </dataValidation>
    <dataValidation type="list" allowBlank="1" showErrorMessage="1" sqref="BH2:BH297">
      <formula1>"Негатив,Консультация"</formula1>
    </dataValidation>
    <dataValidation type="list" allowBlank="1" showErrorMessage="1" sqref="AO2:AP297">
      <formula1>"В работе от марта,VIP,Новичок,Старичок,Не должник,Менеджер звонит,Расписка,Должник,&lt; 25 доков,Должник,&lt; 15 доков,ОСИС"</formula1>
    </dataValidation>
    <dataValidation type="list" allowBlank="1" showErrorMessage="1" sqref="BD2:BD3 BD4:BE4 BD5:BD6 BD7:BE7 BD8:BD10 BD11:BE13 BD14 BD15:BE17 BD18 BD19:BE21 BD22:BD23 BD24:BE25 BD26 BD27:BE27 BD28:BD29 BD30:BE30 BD31:BD33 BD34:BE34 BD35 BD36:BE38 BD39 BD40:BE40 BD41 BD42:BE42 BD43:BD47 BD48:BE48 BD49 BD50:BE57 BD58:BD59 BD60:BE62 BD63 BD64:BE65 BD66:BD67 BD68:BE75 BD76 BD77:BE80 BD81 BD82:BE85 BD86 BD87:BE87 BD88 BD89:BE91 BD92 BD93:BE95 BD96 BD97:BE99 BD100:BD101 BD102:BE104 BD105 BD106:BE107 BD108:BD109 BD110:BE110 BD111 BD112:BE112 BD113 BD114:BE116 BD117:BD119 BD120:BE122 BD123 BD124:BE129 BD130 BD131:BE132 BD133 BD134:BE134 BD135 BD136:BE141 BD142:BD143 BD144:BE149 BD150:BD151 BD152:BE152 BD153:BD154 BD155:BE155 BD156:BD157 BD158:BE158 BD159:BD160 BD161:BE161 BD162 BD163:BE163 BD164 BD165:BE165 BD166 BD167:BE170 BD171:BD172 BD173:BE174 BD175:BD180 BD181:BE185 BD186:BD190 BD191:BE192 BD193 BD194:BE194 BD195 BD196:BE198 BD199:BD203 BD204:BE205 BD206:BD209 BD210:BE211 BD212 BD213:BE214 BD215 BD216:BE216 BD217:BD219 BD220:BE220 BD221 BD222:BE224 BD225 BD226:BE226 BD227 BD228:BE229 BD230 BD231:BE231 BD232:BD234 BD235:BE236 BD237 BD238:BE239 BD240:BD243 BD244:BE244 BD245:BD246 BD247:BE249 BD250:BD251 BD252:BE252 BD253 BD254:BE256 BD257:BD258 BD259:BE259 BD260:BD262 BD263:BE263 BD264 BD265:BE265 BD266 BD267:BE267 BD268 BD269:BE271 BD272:BD273 BD274:BE274 BD275 BD276:BE277 BD278:BD279 BD280:BE281 BD282 BD283:BE286 BD287:BD288 BD289:BE289 BD290 BD291:BE291 BD292:BD294 BD295:BE296">
      <formula1>"Конец января,Середина февраля,Конец февраля,Не звонили,Посылка в пути,Отнес в офис Контура,свой срок,отправил посылку"</formula1>
    </dataValidation>
  </dataValidations>
  <hyperlinks>
    <hyperlink r:id="rId1" ref="AT133"/>
    <hyperlink r:id="rId2" ref="AT141"/>
  </hyperlinks>
  <printOptions/>
  <pageMargins bottom="0.75" footer="0.0" header="0.0" left="0.7" right="0.7" top="0.75"/>
  <pageSetup orientation="landscape"/>
  <drawing r:id="rId3"/>
</worksheet>
</file>